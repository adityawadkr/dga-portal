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GA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<sst xmlns="http://schemas.openxmlformats.org/spreadsheetml/2006/main" count="3796" uniqueCount="481">
  <si>
    <t>S. No.</t>
  </si>
  <si>
    <t xml:space="preserve">         DGA   Analysis   (IS 10593,9434)  test value in ppm (Parts-per-million)</t>
  </si>
  <si>
    <t>Rogers Ratio Method</t>
  </si>
  <si>
    <t>IEC Ratio Method</t>
  </si>
  <si>
    <t>Dornenburg Ratio Method</t>
  </si>
  <si>
    <t>SR. NO.</t>
  </si>
  <si>
    <t xml:space="preserve"> Rating</t>
  </si>
  <si>
    <t xml:space="preserve"> Ratio(KV)</t>
  </si>
  <si>
    <t>Make</t>
  </si>
  <si>
    <t>Year of Manufacture</t>
  </si>
  <si>
    <t>TGC         Total Gas Content</t>
  </si>
  <si>
    <t>H2        Hydrogen</t>
  </si>
  <si>
    <t>O2         Oxygen</t>
  </si>
  <si>
    <t>N2             Nitrogen</t>
  </si>
  <si>
    <t>CO      Carbomonoxide</t>
  </si>
  <si>
    <t>CO2           Carbondioxide</t>
  </si>
  <si>
    <t>CH4               Methane</t>
  </si>
  <si>
    <t>C2H6         Ethane</t>
  </si>
  <si>
    <t>C2H4     Ethylene</t>
  </si>
  <si>
    <t>C2H2       Acetyline</t>
  </si>
  <si>
    <t>C2H2/C2H4</t>
  </si>
  <si>
    <t>CH4/H2</t>
  </si>
  <si>
    <t>C2H4/C2H6</t>
  </si>
  <si>
    <t xml:space="preserve">FAULT TYPE </t>
  </si>
  <si>
    <t>C2H2/CH4</t>
  </si>
  <si>
    <t>C2H6/C2H2</t>
  </si>
  <si>
    <t>HT-1869/13207</t>
  </si>
  <si>
    <t>50 MVA</t>
  </si>
  <si>
    <t>66/0.433 KV</t>
  </si>
  <si>
    <t>EMCO</t>
  </si>
  <si>
    <t>Arching</t>
  </si>
  <si>
    <t>Arching,Low temprature thermal fault</t>
  </si>
  <si>
    <t>Arching,Thermal  Fault &gt; 700 c</t>
  </si>
  <si>
    <t>Thermal Faults&gt;700c</t>
  </si>
  <si>
    <t>High Energy Discharge</t>
  </si>
  <si>
    <t>thermal fault &lt;300</t>
  </si>
  <si>
    <t>Thermal  Fault  &gt;700 c</t>
  </si>
  <si>
    <t>Low Temprature thermal Fault,Thermal Fault&lt;700c</t>
  </si>
  <si>
    <t>Thermal Decomposition</t>
  </si>
  <si>
    <t>B-22806(DIT-000055)</t>
  </si>
  <si>
    <t>10 MVA</t>
  </si>
  <si>
    <t>33/11 KV</t>
  </si>
  <si>
    <t>THE GENERAL ELECTRICAL</t>
  </si>
  <si>
    <t>1000060003(DIT-000026)</t>
  </si>
  <si>
    <t>PME</t>
  </si>
  <si>
    <t>172580(DIT-000090)</t>
  </si>
  <si>
    <t>RAJASTAN</t>
  </si>
  <si>
    <t>10000000021 T-2204</t>
  </si>
  <si>
    <t>thermal fault&lt;300</t>
  </si>
  <si>
    <t>TTL/UP25235 T-1960</t>
  </si>
  <si>
    <t>33/11</t>
  </si>
  <si>
    <t>TESLA TRANSFORMER</t>
  </si>
  <si>
    <t>MARSONS</t>
  </si>
  <si>
    <t>High energhy Discharge</t>
  </si>
  <si>
    <t>ATL-10187070001</t>
  </si>
  <si>
    <t>ACCURATE</t>
  </si>
  <si>
    <t>PARTICULAR</t>
  </si>
  <si>
    <t>T-2228</t>
  </si>
  <si>
    <t>KATSONS</t>
  </si>
  <si>
    <t>thermal fault &lt;300 c</t>
  </si>
  <si>
    <t>109620(TIT005184)</t>
  </si>
  <si>
    <t>109618(TIT005718)</t>
  </si>
  <si>
    <t>172827(DIT000018)</t>
  </si>
  <si>
    <t>109617(TIT0057147)</t>
  </si>
  <si>
    <t>172521(DIT000064)</t>
  </si>
  <si>
    <t>RAJSTHAN TRANSFORMER</t>
  </si>
  <si>
    <t>DIT000072</t>
  </si>
  <si>
    <t>--</t>
  </si>
  <si>
    <t>thermal fault &lt;301</t>
  </si>
  <si>
    <t>thermal fault &lt;302</t>
  </si>
  <si>
    <t>A-0081910710007</t>
  </si>
  <si>
    <t>AE</t>
  </si>
  <si>
    <t>thermal fault &lt;303</t>
  </si>
  <si>
    <t>100000000023(DIT000069)</t>
  </si>
  <si>
    <t>109623(TIT005814)</t>
  </si>
  <si>
    <t>822804(DIT000094)</t>
  </si>
  <si>
    <t>GEC</t>
  </si>
  <si>
    <t>I100133/002</t>
  </si>
  <si>
    <t>40 MVA</t>
  </si>
  <si>
    <t>132/11 KV</t>
  </si>
  <si>
    <t>SIEMENS</t>
  </si>
  <si>
    <t>I100133/001</t>
  </si>
  <si>
    <t>15 MVA</t>
  </si>
  <si>
    <t>NGEF</t>
  </si>
  <si>
    <t>28 MVA</t>
  </si>
  <si>
    <t>11/0.259 KV</t>
  </si>
  <si>
    <t>HT-1597/12313</t>
  </si>
  <si>
    <t>280004-9527</t>
  </si>
  <si>
    <t>11/125</t>
  </si>
  <si>
    <t>80 MVA</t>
  </si>
  <si>
    <t>132/11.5 /6.9KV</t>
  </si>
  <si>
    <t>BHEL</t>
  </si>
  <si>
    <t>T/16881/C-10047</t>
  </si>
  <si>
    <t>AREVA</t>
  </si>
  <si>
    <t>132/11.5 KV</t>
  </si>
  <si>
    <t>TELK</t>
  </si>
  <si>
    <t>T-8667/1</t>
  </si>
  <si>
    <t>CG</t>
  </si>
  <si>
    <t>TR-6650 B-30051</t>
  </si>
  <si>
    <t>16 MVA</t>
  </si>
  <si>
    <t>11.5/6.9 KV</t>
  </si>
  <si>
    <t>5092/1</t>
  </si>
  <si>
    <t>BBL</t>
  </si>
  <si>
    <t>5092/2</t>
  </si>
  <si>
    <t>21327/1</t>
  </si>
  <si>
    <t>11/6.9 KV</t>
  </si>
  <si>
    <t>VOLTAMP</t>
  </si>
  <si>
    <t>thermal fault &lt;300c</t>
  </si>
  <si>
    <t>21327/2</t>
  </si>
  <si>
    <t>21327/3</t>
  </si>
  <si>
    <t>21327/4</t>
  </si>
  <si>
    <t>5104/5</t>
  </si>
  <si>
    <t>BHARAT BIJLEE</t>
  </si>
  <si>
    <t>5104/7</t>
  </si>
  <si>
    <t>5104/6</t>
  </si>
  <si>
    <t>5105/2</t>
  </si>
  <si>
    <t>5104/2</t>
  </si>
  <si>
    <t>5104/3</t>
  </si>
  <si>
    <t>5105/1</t>
  </si>
  <si>
    <t>HT-1756/2893</t>
  </si>
  <si>
    <t>HT-1756/2894</t>
  </si>
  <si>
    <t>072ZM-003/01</t>
  </si>
  <si>
    <t>KIRLOSKAR</t>
  </si>
  <si>
    <t>5104/4</t>
  </si>
  <si>
    <t>5104/1</t>
  </si>
  <si>
    <t>21327/5</t>
  </si>
  <si>
    <t>21327/7</t>
  </si>
  <si>
    <t>13133-01</t>
  </si>
  <si>
    <t>90/120 MVA</t>
  </si>
  <si>
    <t>220/132 KV</t>
  </si>
  <si>
    <t>ABB</t>
  </si>
  <si>
    <t>13146-01</t>
  </si>
  <si>
    <t>D-8305</t>
  </si>
  <si>
    <t>11 MVA</t>
  </si>
  <si>
    <t>33/2.64 KV</t>
  </si>
  <si>
    <t>B-30654</t>
  </si>
  <si>
    <t>275 MVA</t>
  </si>
  <si>
    <t>(420/√3)/21 KV</t>
  </si>
  <si>
    <t>ALSTOM</t>
  </si>
  <si>
    <t>B-30655</t>
  </si>
  <si>
    <t>B-30656</t>
  </si>
  <si>
    <t>B-30651</t>
  </si>
  <si>
    <t>(420/√3)/11.5 KV</t>
  </si>
  <si>
    <t>B-30657</t>
  </si>
  <si>
    <t>Discharge of flow of energy</t>
  </si>
  <si>
    <t>B-30653</t>
  </si>
  <si>
    <t>20104037TIG008-001</t>
  </si>
  <si>
    <t>270 MVA</t>
  </si>
  <si>
    <t>765/22 KV</t>
  </si>
  <si>
    <t>Hyundai</t>
  </si>
  <si>
    <t>20104037TIG008-002</t>
  </si>
  <si>
    <t>20104037TIG011-002</t>
  </si>
  <si>
    <t>20104037TIG009-001</t>
  </si>
  <si>
    <t>20104037TIG010-003</t>
  </si>
  <si>
    <t>20104037TIG013-001</t>
  </si>
  <si>
    <t>-</t>
  </si>
  <si>
    <t>20104037TIG013-004</t>
  </si>
  <si>
    <t>20104037TIG010-002</t>
  </si>
  <si>
    <t>20104037TIG004-001</t>
  </si>
  <si>
    <t>20104037TIG004-003</t>
  </si>
  <si>
    <t>20104037TIG004-004</t>
  </si>
  <si>
    <t>20104037TIG011-003</t>
  </si>
  <si>
    <t>20104037TIG013-002</t>
  </si>
  <si>
    <t>20104037TIG009-003</t>
  </si>
  <si>
    <t>20104037TIG010-001</t>
  </si>
  <si>
    <t>TB1/621000174/2</t>
  </si>
  <si>
    <t>33/6.9 MVA</t>
  </si>
  <si>
    <t>TB1/621000174/1</t>
  </si>
  <si>
    <t>Rajasthan Transformers &amp; Switchgears</t>
  </si>
  <si>
    <t>ATL-81860703</t>
  </si>
  <si>
    <t>Atl-838180809</t>
  </si>
  <si>
    <t>Accurate Transformers Ltd </t>
  </si>
  <si>
    <t>10.5/6.9 KV</t>
  </si>
  <si>
    <t>220/33 KV</t>
  </si>
  <si>
    <t>50/75/130 MVA</t>
  </si>
  <si>
    <t>B-29508</t>
  </si>
  <si>
    <t>B-29509</t>
  </si>
  <si>
    <t>BH8791/4</t>
  </si>
  <si>
    <t>220/11 KV</t>
  </si>
  <si>
    <t>CGL</t>
  </si>
  <si>
    <t>BH8791/5</t>
  </si>
  <si>
    <t>BH8791/3</t>
  </si>
  <si>
    <t>092Y0003/01</t>
  </si>
  <si>
    <t>KIRLOSKER</t>
  </si>
  <si>
    <t>230/11 KV</t>
  </si>
  <si>
    <t>8791/1</t>
  </si>
  <si>
    <t>25 MVA</t>
  </si>
  <si>
    <t>33/6.9 KV</t>
  </si>
  <si>
    <t>08ZG-014/01</t>
  </si>
  <si>
    <t>05ZG-007/01</t>
  </si>
  <si>
    <t>33/6.6 KV</t>
  </si>
  <si>
    <t>NA</t>
  </si>
  <si>
    <t>05ZG-007/02</t>
  </si>
  <si>
    <t>33/11.5 KV</t>
  </si>
  <si>
    <t>D-6893</t>
  </si>
  <si>
    <t>50/75/150 MVA</t>
  </si>
  <si>
    <t>JN-3166/2</t>
  </si>
  <si>
    <t>26.5 MVA</t>
  </si>
  <si>
    <t>33/6.6KV</t>
  </si>
  <si>
    <t>TBI/623000451/2</t>
  </si>
  <si>
    <t>SCHNEIDER ELECTRIC</t>
  </si>
  <si>
    <t>C Parksion</t>
  </si>
  <si>
    <t>7644/1</t>
  </si>
  <si>
    <t>16/20 MVA</t>
  </si>
  <si>
    <t>66/6.6 KV</t>
  </si>
  <si>
    <t>12054-1</t>
  </si>
  <si>
    <t>141.2/35.3 KV</t>
  </si>
  <si>
    <t>12043-2</t>
  </si>
  <si>
    <t>12043-3</t>
  </si>
  <si>
    <t>130145-2</t>
  </si>
  <si>
    <t>63000/8000 V</t>
  </si>
  <si>
    <t>130145-3</t>
  </si>
  <si>
    <t>130145-4</t>
  </si>
  <si>
    <t>M-6037</t>
  </si>
  <si>
    <t>SAP-10041067</t>
  </si>
  <si>
    <t>93XG-004/06</t>
  </si>
  <si>
    <t>33/11/6.6 KV</t>
  </si>
  <si>
    <t>TO9548/1</t>
  </si>
  <si>
    <t>TO9548/2</t>
  </si>
  <si>
    <t>TO9548/3</t>
  </si>
  <si>
    <t>12067-001</t>
  </si>
  <si>
    <t>12067-002</t>
  </si>
  <si>
    <t>EMCO LTD.,</t>
  </si>
  <si>
    <t>93ZG002/RH/01</t>
  </si>
  <si>
    <t>25MVA</t>
  </si>
  <si>
    <t>33/6.9</t>
  </si>
  <si>
    <t>93ZG002/RH/03</t>
  </si>
  <si>
    <t>93ZG002/RH/02</t>
  </si>
  <si>
    <t>9222/RV/453</t>
  </si>
  <si>
    <t>4740/1</t>
  </si>
  <si>
    <t>33/6.9KV</t>
  </si>
  <si>
    <t>4740/2</t>
  </si>
  <si>
    <t>JN-22513</t>
  </si>
  <si>
    <t>132/6.9 KV</t>
  </si>
  <si>
    <t>Voltamp</t>
  </si>
  <si>
    <t>CP</t>
  </si>
  <si>
    <t>B-26394</t>
  </si>
  <si>
    <t>16/21  MVA</t>
  </si>
  <si>
    <t xml:space="preserve">11/6.6 </t>
  </si>
  <si>
    <t>13.2/33 KV</t>
  </si>
  <si>
    <t>90118A 03</t>
  </si>
  <si>
    <t>70 MVA</t>
  </si>
  <si>
    <t>220/6.9 KV</t>
  </si>
  <si>
    <t>90113A 04</t>
  </si>
  <si>
    <t>T09548/4</t>
  </si>
  <si>
    <t>Discharge of Low Energy</t>
  </si>
  <si>
    <t>MF-7158/01</t>
  </si>
  <si>
    <t>34.5/11 KV</t>
  </si>
  <si>
    <t>AMN-002</t>
  </si>
  <si>
    <t>66/11 KV</t>
  </si>
  <si>
    <t>APA-004</t>
  </si>
  <si>
    <t>JN-8121</t>
  </si>
  <si>
    <t>JN-8232/5</t>
  </si>
  <si>
    <t>JN-5798/2</t>
  </si>
  <si>
    <t>APA-002</t>
  </si>
  <si>
    <t>APA-003</t>
  </si>
  <si>
    <t>AMN-001</t>
  </si>
  <si>
    <t>224011492/10</t>
  </si>
  <si>
    <t>SCHNEIDER</t>
  </si>
  <si>
    <t>221100742/10</t>
  </si>
  <si>
    <t>JN-8103/2</t>
  </si>
  <si>
    <t>JN-5798/1</t>
  </si>
  <si>
    <t>JN-2777</t>
  </si>
  <si>
    <t>JN-3081</t>
  </si>
  <si>
    <t>ETE</t>
  </si>
  <si>
    <t>JN-3164/2</t>
  </si>
  <si>
    <t>JN-3434</t>
  </si>
  <si>
    <t>222978419/10</t>
  </si>
  <si>
    <t>JN-8171/1</t>
  </si>
  <si>
    <t>JN-8171/2</t>
  </si>
  <si>
    <t>JN-8232/4</t>
  </si>
  <si>
    <t>JN-8232/8</t>
  </si>
  <si>
    <t>JN-8232/6</t>
  </si>
  <si>
    <t>JN-8232/7</t>
  </si>
  <si>
    <t>JN-8156/1</t>
  </si>
  <si>
    <t>JN-8156/2</t>
  </si>
  <si>
    <t>AFQ-001</t>
  </si>
  <si>
    <t>JN-8103/3</t>
  </si>
  <si>
    <t>High Energy Discharges</t>
  </si>
  <si>
    <t>JN-8557/1</t>
  </si>
  <si>
    <t>JN-8076</t>
  </si>
  <si>
    <t>JN-5598</t>
  </si>
  <si>
    <t>JN-8103/1</t>
  </si>
  <si>
    <t>APA-001</t>
  </si>
  <si>
    <t>ABP-01</t>
  </si>
  <si>
    <t>ABP-02</t>
  </si>
  <si>
    <t>JN-8232/1</t>
  </si>
  <si>
    <t>JN-8232/2</t>
  </si>
  <si>
    <t>JN-8192/1</t>
  </si>
  <si>
    <t>JN-8192/2</t>
  </si>
  <si>
    <t>JN-5662</t>
  </si>
  <si>
    <t>JN-8103/4</t>
  </si>
  <si>
    <t>JN-8232/3</t>
  </si>
  <si>
    <t>B-30087</t>
  </si>
  <si>
    <t>24 MVA</t>
  </si>
  <si>
    <t>33/0.385 KV</t>
  </si>
  <si>
    <t>B-29914</t>
  </si>
  <si>
    <t>132/33 KV</t>
  </si>
  <si>
    <t>173717/1</t>
  </si>
  <si>
    <t>120383-2</t>
  </si>
  <si>
    <t>22/11 KV</t>
  </si>
  <si>
    <t>120383-1</t>
  </si>
  <si>
    <t>3166/1</t>
  </si>
  <si>
    <t>1994</t>
  </si>
  <si>
    <t>3366/2</t>
  </si>
  <si>
    <t>3166/3</t>
  </si>
  <si>
    <t>JN-4206/1</t>
  </si>
  <si>
    <t>JN-4206/3</t>
  </si>
  <si>
    <t>JN-4206/2</t>
  </si>
  <si>
    <t>5019/2</t>
  </si>
  <si>
    <t>5019/1</t>
  </si>
  <si>
    <t>3166/4</t>
  </si>
  <si>
    <t>200949/8</t>
  </si>
  <si>
    <t>11/34.5 KV</t>
  </si>
  <si>
    <t>1995</t>
  </si>
  <si>
    <t>200949/9</t>
  </si>
  <si>
    <t>TBI-623000451/2</t>
  </si>
  <si>
    <t>SCHEINDER</t>
  </si>
  <si>
    <t>TBI-623000451/1</t>
  </si>
  <si>
    <t>5391/1</t>
  </si>
  <si>
    <t>285 MVA</t>
  </si>
  <si>
    <t>21/420/√3 KV</t>
  </si>
  <si>
    <t>90118B06</t>
  </si>
  <si>
    <t>21/6.9 KV</t>
  </si>
  <si>
    <t>TOSHIBA</t>
  </si>
  <si>
    <t>90118B03</t>
  </si>
  <si>
    <t>33/0.310 KV</t>
  </si>
  <si>
    <t>LEL 110667</t>
  </si>
  <si>
    <t>13 MVA</t>
  </si>
  <si>
    <t>33/3.3 KV</t>
  </si>
  <si>
    <t>Siemens</t>
  </si>
  <si>
    <t>B-29288</t>
  </si>
  <si>
    <t>13..2/3.45 KV</t>
  </si>
  <si>
    <t>Alstom</t>
  </si>
  <si>
    <t>132/34.5 KV</t>
  </si>
  <si>
    <t>D 11042</t>
  </si>
  <si>
    <t>D 11043</t>
  </si>
  <si>
    <t>MT-7440/01</t>
  </si>
  <si>
    <t>D 11044</t>
  </si>
  <si>
    <t>MT-7440/02</t>
  </si>
  <si>
    <t>MT-5296/1</t>
  </si>
  <si>
    <t>7339824/1</t>
  </si>
  <si>
    <t>220875172/01</t>
  </si>
  <si>
    <t>HACK BRIDGE</t>
  </si>
  <si>
    <t>4163/1</t>
  </si>
  <si>
    <t>4940/1</t>
  </si>
  <si>
    <t>JN.21071</t>
  </si>
  <si>
    <t>132KV/6.9KV</t>
  </si>
  <si>
    <t>4644/1</t>
  </si>
  <si>
    <t>BIPPL</t>
  </si>
  <si>
    <t>4644/2</t>
  </si>
  <si>
    <t>4696/2</t>
  </si>
  <si>
    <t>4696/1</t>
  </si>
  <si>
    <t>JN-21397/2</t>
  </si>
  <si>
    <t>11/3.6 KV</t>
  </si>
  <si>
    <t>JN-21397/4</t>
  </si>
  <si>
    <t>JN-21397/3</t>
  </si>
  <si>
    <t>800/22 KV</t>
  </si>
  <si>
    <t>HYUNDAI</t>
  </si>
  <si>
    <t>21704037TIG013-004</t>
  </si>
  <si>
    <t>20109037TIG013-002</t>
  </si>
  <si>
    <t>20109037TIG004-001</t>
  </si>
  <si>
    <t>66/6.9 KV</t>
  </si>
  <si>
    <t>66/6.9KV</t>
  </si>
  <si>
    <t>6.6/6.9KV</t>
  </si>
  <si>
    <t>SCHINEIDER</t>
  </si>
  <si>
    <t>621000403/1</t>
  </si>
  <si>
    <t>11KV</t>
  </si>
  <si>
    <t>JN-22633/1</t>
  </si>
  <si>
    <t>66/11.5KV</t>
  </si>
  <si>
    <t>JN-22633/2</t>
  </si>
  <si>
    <t>LEL-109409</t>
  </si>
  <si>
    <t>LEL-109408</t>
  </si>
  <si>
    <t>LEL-109404</t>
  </si>
  <si>
    <t>2213/48</t>
  </si>
  <si>
    <t>English Electrical</t>
  </si>
  <si>
    <t>B-27471</t>
  </si>
  <si>
    <t>33/0.25 KV</t>
  </si>
  <si>
    <t>T-09825/1</t>
  </si>
  <si>
    <t>140.4/7.02 KV</t>
  </si>
  <si>
    <t>6.6 KV</t>
  </si>
  <si>
    <t>20150686TIG003</t>
  </si>
  <si>
    <t>141.2/35.3/11.710 KV</t>
  </si>
  <si>
    <t>220/132KKV</t>
  </si>
  <si>
    <t>132 /11.5 KV</t>
  </si>
  <si>
    <t>132 /11 KV</t>
  </si>
  <si>
    <t>11 /6.9 KV</t>
  </si>
  <si>
    <t>11 /0.360 KV</t>
  </si>
  <si>
    <t>11 /0.293 V</t>
  </si>
  <si>
    <t>2003-4</t>
  </si>
  <si>
    <t>5741/02</t>
  </si>
  <si>
    <t>5741/01</t>
  </si>
  <si>
    <t xml:space="preserve">15 MVA </t>
  </si>
  <si>
    <t>12.5/151 KV</t>
  </si>
  <si>
    <t>5079/02</t>
  </si>
  <si>
    <t>16/21 MVA</t>
  </si>
  <si>
    <t>5079/01</t>
  </si>
  <si>
    <t>JN-21313/2</t>
  </si>
  <si>
    <t>JN-23491/1</t>
  </si>
  <si>
    <t>JN-3391/2</t>
  </si>
  <si>
    <t>JN-3392/1</t>
  </si>
  <si>
    <t>JN-3392/2</t>
  </si>
  <si>
    <t>KT-10000/19</t>
  </si>
  <si>
    <t>KANOHAR</t>
  </si>
  <si>
    <t>KT-10000/20</t>
  </si>
  <si>
    <t>132/11</t>
  </si>
  <si>
    <t>GEC ALSTOM</t>
  </si>
  <si>
    <t>MTPL</t>
  </si>
  <si>
    <t>JN-3166/3</t>
  </si>
  <si>
    <t>JN-3366/2</t>
  </si>
  <si>
    <t>JN-3166/1</t>
  </si>
  <si>
    <t>JN-3166</t>
  </si>
  <si>
    <t>33/66 KV</t>
  </si>
  <si>
    <t>4246/3</t>
  </si>
  <si>
    <t>JN-4206/01</t>
  </si>
  <si>
    <t>B-29514</t>
  </si>
  <si>
    <t>90118B/06</t>
  </si>
  <si>
    <t xml:space="preserve">21/6.9 </t>
  </si>
  <si>
    <t>90118B/03</t>
  </si>
  <si>
    <t>21/6.9</t>
  </si>
  <si>
    <t>90118A/03</t>
  </si>
  <si>
    <t>22/6.9/12</t>
  </si>
  <si>
    <t>VIJAY ELECTRICAL</t>
  </si>
  <si>
    <t>90118A/04</t>
  </si>
  <si>
    <t>220/6.9/12</t>
  </si>
  <si>
    <t>BH-8791/4</t>
  </si>
  <si>
    <t>BH-8791/5</t>
  </si>
  <si>
    <t>BH-8791/3</t>
  </si>
  <si>
    <t>092Y0003/1</t>
  </si>
  <si>
    <t>D-29758</t>
  </si>
  <si>
    <t>0824014/1</t>
  </si>
  <si>
    <t>2003-04</t>
  </si>
  <si>
    <t>223381880/110</t>
  </si>
  <si>
    <t>Tamini</t>
  </si>
  <si>
    <t>12067-004</t>
  </si>
  <si>
    <t>90118-B-06</t>
  </si>
  <si>
    <t>90118-B-03</t>
  </si>
  <si>
    <t>T-8241/1</t>
  </si>
  <si>
    <t>14MVA</t>
  </si>
  <si>
    <t>11/6.9KV</t>
  </si>
  <si>
    <t>Crompton Greaves</t>
  </si>
  <si>
    <t>JN-22856</t>
  </si>
  <si>
    <t>680700644-D7588</t>
  </si>
  <si>
    <t>T-8241/2</t>
  </si>
  <si>
    <t>14637/2</t>
  </si>
  <si>
    <t>11/0.433 KV</t>
  </si>
  <si>
    <t>14637/1</t>
  </si>
  <si>
    <t>420/13/21 KV</t>
  </si>
  <si>
    <t>420/3/21 KV</t>
  </si>
  <si>
    <t>420√3/21 KV</t>
  </si>
  <si>
    <t>C-10243</t>
  </si>
  <si>
    <t>21/11.5 KV</t>
  </si>
  <si>
    <t>C-10242</t>
  </si>
  <si>
    <t>C-10181</t>
  </si>
  <si>
    <t>11/3.45 KV</t>
  </si>
  <si>
    <t>C-10180</t>
  </si>
  <si>
    <t>C-10241</t>
  </si>
  <si>
    <t>40  MVA</t>
  </si>
  <si>
    <t>C-10244</t>
  </si>
  <si>
    <t>D-11438</t>
  </si>
  <si>
    <t>SCHINDER</t>
  </si>
  <si>
    <t>PC-0400539</t>
  </si>
  <si>
    <t>T &amp; R</t>
  </si>
  <si>
    <t>PC-0400540</t>
  </si>
  <si>
    <t>R &amp; T</t>
  </si>
  <si>
    <t xml:space="preserve">DESCRIPTION OF DGA DATA  </t>
  </si>
  <si>
    <t>FAULT CODE</t>
  </si>
  <si>
    <t>NUMBER OF SAMPLES</t>
  </si>
  <si>
    <t>DATASET 1</t>
  </si>
  <si>
    <t xml:space="preserve">Partial discharges </t>
  </si>
  <si>
    <t>Partial discharge</t>
  </si>
  <si>
    <t xml:space="preserve">Discharges of low energy </t>
  </si>
  <si>
    <t xml:space="preserve">Corona </t>
  </si>
  <si>
    <t xml:space="preserve">Low temperature thermal fault </t>
  </si>
  <si>
    <t xml:space="preserve">High energy discharges </t>
  </si>
  <si>
    <t xml:space="preserve">Thermal fault &lt;700°C </t>
  </si>
  <si>
    <t xml:space="preserve">Thermal faults&lt;300°C </t>
  </si>
  <si>
    <t>Thermal fault &gt;700°C</t>
  </si>
  <si>
    <t>Thermal faults&gt;300°C and &lt;700°C</t>
  </si>
  <si>
    <t>Thermal faults&gt;700°C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</si>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</sst>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/>
      <name val="Arial"/>
      <scheme val="minor"/>
    </font>
    <font>
      <b/>
      <sz val="10.0"/>
      <name val="Calibri"/>
    </font>
    <font>
      <b/>
      <sz val="10.0"/>
      <color/>
      <name val="Calibri"/>
    </font>
    <font/>
    <font>
      <sz val="10.0"/>
      <name val="Calibri"/>
    </font>
    <font>
      <sz val="10.0"/>
      <color/>
      <name val="Calibri"/>
    </font>
    <font>
      <sz val="10.0"/>
      <color rgb="FF000000"/>
      <name val="Calibri"/>
    </font>
    <font>
      <b/>
      <sz val="11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1" xfId="0" applyAlignment="1" applyBorder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8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8" fillId="0" fontId="4" numFmtId="1" xfId="0" applyAlignment="1" applyBorder="1" applyFont="1" applyNumberFormat="1">
      <alignment horizontal="center" vertical="center"/>
    </xf>
    <xf borderId="8" fillId="0" fontId="5" numFmtId="1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quotePrefix="1" borderId="8" fillId="0" fontId="5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quotePrefix="1" borderId="8" fillId="0" fontId="5" numFmtId="0" xfId="0" applyAlignment="1" applyBorder="1" applyFont="1">
      <alignment horizontal="center" vertical="center"/>
    </xf>
    <xf borderId="8" fillId="0" fontId="5" numFmtId="1" xfId="0" applyAlignment="1" applyBorder="1" applyFont="1" applyNumberFormat="1">
      <alignment horizontal="center" shrinkToFit="0" vertical="center" wrapText="1"/>
    </xf>
    <xf borderId="8" fillId="0" fontId="5" numFmtId="164" xfId="0" applyAlignment="1" applyBorder="1" applyFont="1" applyNumberFormat="1">
      <alignment horizontal="center" shrinkToFit="0" vertical="center" wrapText="1"/>
    </xf>
    <xf borderId="8" fillId="0" fontId="5" numFmtId="164" xfId="0" applyAlignment="1" applyBorder="1" applyFont="1" applyNumberFormat="1">
      <alignment horizontal="center" vertical="center"/>
    </xf>
    <xf quotePrefix="1" borderId="8" fillId="0" fontId="4" numFmtId="0" xfId="0" applyAlignment="1" applyBorder="1" applyFont="1">
      <alignment horizontal="center" shrinkToFit="0" vertical="center" wrapText="1"/>
    </xf>
    <xf borderId="8" fillId="0" fontId="4" numFmtId="164" xfId="0" applyAlignment="1" applyBorder="1" applyFont="1" applyNumberFormat="1">
      <alignment horizontal="center" vertical="center"/>
    </xf>
    <xf quotePrefix="1" borderId="8" fillId="0" fontId="6" numFmtId="0" xfId="0" applyAlignment="1" applyBorder="1" applyFont="1">
      <alignment horizontal="center" shrinkToFit="0" vertical="center" wrapText="1"/>
    </xf>
    <xf borderId="8" fillId="0" fontId="5" numFmtId="49" xfId="0" applyAlignment="1" applyBorder="1" applyFont="1" applyNumberFormat="1">
      <alignment horizontal="center" vertical="center"/>
    </xf>
    <xf quotePrefix="1" borderId="8" fillId="0" fontId="5" numFmtId="49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/>
    </xf>
    <xf borderId="8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5.0"/>
    <col customWidth="1" min="3" max="3" width="15.29"/>
    <col customWidth="1" min="4" max="4" width="19.57"/>
    <col customWidth="1" min="5" max="5" width="35.43"/>
    <col customWidth="1" min="6" max="6" width="19.57"/>
    <col customWidth="1" min="7" max="16" width="9.14"/>
    <col customWidth="1" min="17" max="17" width="11.43"/>
    <col customWidth="1" min="18" max="18" width="9.14"/>
    <col customWidth="1" min="19" max="19" width="11.86"/>
    <col customWidth="1" min="20" max="20" width="37.29"/>
    <col customWidth="1" min="21" max="21" width="32.86"/>
    <col customWidth="1" min="22" max="22" width="40.0"/>
    <col customWidth="1" min="23" max="23" width="11.43"/>
    <col customWidth="1" min="24" max="24" width="9.14"/>
    <col customWidth="1" min="25" max="25" width="11.43"/>
    <col customWidth="1" min="26" max="26" width="24.86"/>
    <col customWidth="1" min="27" max="27" width="32.86"/>
    <col customWidth="1" min="28" max="28" width="19.29"/>
    <col customWidth="1" min="29" max="29" width="9.14"/>
    <col customWidth="1" min="30" max="30" width="11.43"/>
    <col customWidth="1" min="31" max="31" width="9.14"/>
    <col customWidth="1" min="32" max="32" width="11.43"/>
    <col customWidth="1" min="33" max="34" width="20.14"/>
    <col customWidth="1" min="35" max="36" width="29.0"/>
  </cols>
  <sheetData>
    <row r="1" ht="39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 t="s">
        <v>2</v>
      </c>
      <c r="R1" s="6"/>
      <c r="S1" s="6"/>
      <c r="T1" s="6"/>
      <c r="U1" s="6"/>
      <c r="V1" s="7"/>
      <c r="W1" s="8" t="s">
        <v>3</v>
      </c>
      <c r="X1" s="3"/>
      <c r="Y1" s="3"/>
      <c r="Z1" s="3"/>
      <c r="AA1" s="3"/>
      <c r="AB1" s="4"/>
      <c r="AC1" s="8" t="s">
        <v>4</v>
      </c>
      <c r="AD1" s="3"/>
      <c r="AE1" s="3"/>
      <c r="AF1" s="3"/>
      <c r="AG1" s="3"/>
      <c r="AH1" s="3"/>
      <c r="AI1" s="4"/>
      <c r="AJ1" s="9"/>
    </row>
    <row r="2" ht="12.75" customHeight="1">
      <c r="A2" s="10"/>
      <c r="B2" s="11" t="s">
        <v>5</v>
      </c>
      <c r="C2" s="11" t="s">
        <v>6</v>
      </c>
      <c r="D2" s="11" t="s">
        <v>7</v>
      </c>
      <c r="E2" s="11" t="s">
        <v>8</v>
      </c>
      <c r="F2" s="11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8" t="s">
        <v>23</v>
      </c>
      <c r="U2" s="3"/>
      <c r="V2" s="4"/>
      <c r="W2" s="9" t="s">
        <v>20</v>
      </c>
      <c r="X2" s="9" t="s">
        <v>21</v>
      </c>
      <c r="Y2" s="9" t="s">
        <v>22</v>
      </c>
      <c r="Z2" s="8" t="s">
        <v>23</v>
      </c>
      <c r="AA2" s="3"/>
      <c r="AB2" s="4"/>
      <c r="AC2" s="9" t="s">
        <v>21</v>
      </c>
      <c r="AD2" s="12" t="s">
        <v>20</v>
      </c>
      <c r="AE2" s="9" t="s">
        <v>24</v>
      </c>
      <c r="AF2" s="9" t="s">
        <v>25</v>
      </c>
      <c r="AG2" s="8" t="s">
        <v>23</v>
      </c>
      <c r="AH2" s="3"/>
      <c r="AI2" s="3"/>
      <c r="AJ2" s="4"/>
    </row>
    <row r="3" ht="12.75" customHeight="1">
      <c r="A3" s="11">
        <v>1.0</v>
      </c>
      <c r="B3" s="13" t="s">
        <v>26</v>
      </c>
      <c r="C3" s="13" t="s">
        <v>27</v>
      </c>
      <c r="D3" s="13" t="s">
        <v>28</v>
      </c>
      <c r="E3" s="13" t="s">
        <v>29</v>
      </c>
      <c r="F3" s="13">
        <v>2010.0</v>
      </c>
      <c r="G3" s="14">
        <v>8.4</v>
      </c>
      <c r="H3" s="15">
        <v>1.176</v>
      </c>
      <c r="I3" s="15">
        <v>15746.136000000002</v>
      </c>
      <c r="J3" s="15">
        <v>65474.976</v>
      </c>
      <c r="K3" s="15">
        <v>153.63600000000002</v>
      </c>
      <c r="L3" s="15">
        <v>1468.488</v>
      </c>
      <c r="M3" s="16">
        <v>1.0079999999999998</v>
      </c>
      <c r="N3" s="16">
        <v>2.0</v>
      </c>
      <c r="O3" s="16">
        <v>1.0</v>
      </c>
      <c r="P3" s="14">
        <v>3.0</v>
      </c>
      <c r="Q3" s="17" t="str">
        <f t="shared" ref="Q3:Q512" si="1">IFERROR(P3/O3," ")</f>
        <v>3</v>
      </c>
      <c r="R3" s="17" t="str">
        <f t="shared" ref="R3:R512" si="2">M3/H3</f>
        <v>0.8571428571</v>
      </c>
      <c r="S3" s="17">
        <v>0.5</v>
      </c>
      <c r="T3" s="17" t="s">
        <v>30</v>
      </c>
      <c r="U3" s="17" t="s">
        <v>31</v>
      </c>
      <c r="V3" s="17" t="s">
        <v>32</v>
      </c>
      <c r="W3" s="17" t="str">
        <f t="shared" ref="W3:W512" si="3">P3/O3</f>
        <v>3</v>
      </c>
      <c r="X3" s="17" t="str">
        <f t="shared" ref="X3:X22" si="4">M3/H3</f>
        <v>0.8571428571</v>
      </c>
      <c r="Y3" s="17">
        <v>0.5</v>
      </c>
      <c r="Z3" s="17" t="s">
        <v>33</v>
      </c>
      <c r="AA3" s="17" t="s">
        <v>34</v>
      </c>
      <c r="AB3" s="17" t="s">
        <v>35</v>
      </c>
      <c r="AC3" s="17" t="str">
        <f t="shared" ref="AC3:AC512" si="5">M3/H3</f>
        <v>0.8571428571</v>
      </c>
      <c r="AD3" s="18">
        <v>3.0</v>
      </c>
      <c r="AE3" s="17" t="str">
        <f t="shared" ref="AE3:AE512" si="6">P3/M3</f>
        <v>2.976190476</v>
      </c>
      <c r="AF3" s="17">
        <v>0.6</v>
      </c>
      <c r="AG3" s="17" t="s">
        <v>30</v>
      </c>
      <c r="AH3" s="17" t="s">
        <v>30</v>
      </c>
      <c r="AI3" s="17" t="s">
        <v>30</v>
      </c>
      <c r="AJ3" s="17" t="str">
        <f t="shared" ref="AJ3:AJ274" si="7">IF(AF3&gt;0.4,"Thermal Decomposition,corona ",IF(AF3&lt;0.4,"Arching"))</f>
        <v>Thermal Decomposition,corona </v>
      </c>
    </row>
    <row r="4" ht="12.75" customHeight="1">
      <c r="A4" s="11">
        <v>2.0</v>
      </c>
      <c r="B4" s="13" t="s">
        <v>26</v>
      </c>
      <c r="C4" s="13" t="s">
        <v>27</v>
      </c>
      <c r="D4" s="13" t="s">
        <v>28</v>
      </c>
      <c r="E4" s="13" t="s">
        <v>29</v>
      </c>
      <c r="F4" s="13">
        <v>2010.0</v>
      </c>
      <c r="G4" s="14">
        <v>8.6</v>
      </c>
      <c r="H4" s="15">
        <v>954.1699999999998</v>
      </c>
      <c r="I4" s="15">
        <v>15964.867999999999</v>
      </c>
      <c r="J4" s="15">
        <v>65313.90399999999</v>
      </c>
      <c r="K4" s="15">
        <v>44.806</v>
      </c>
      <c r="L4" s="15">
        <v>568.546</v>
      </c>
      <c r="M4" s="16">
        <v>118.594</v>
      </c>
      <c r="N4" s="16">
        <v>27.089999999999996</v>
      </c>
      <c r="O4" s="16">
        <v>816.5699999999999</v>
      </c>
      <c r="P4" s="16">
        <v>1077.1499999999999</v>
      </c>
      <c r="Q4" s="17" t="str">
        <f t="shared" si="1"/>
        <v>1.319115324</v>
      </c>
      <c r="R4" s="17" t="str">
        <f t="shared" si="2"/>
        <v>0.1242902208</v>
      </c>
      <c r="S4" s="17" t="str">
        <f t="shared" ref="S4:S512" si="8">IFERROR(O4/N4," ")</f>
        <v>30.14285714</v>
      </c>
      <c r="T4" s="17" t="s">
        <v>30</v>
      </c>
      <c r="U4" s="17" t="s">
        <v>31</v>
      </c>
      <c r="V4" s="17" t="str">
        <f>IF(S4&lt;1,"Partial discharge, Normal ",IF(S4&gt;3,"Arching,Thermal  Fault &gt; 700 c"))</f>
        <v>Arching,Thermal  Fault &gt; 700 c</v>
      </c>
      <c r="W4" s="17" t="str">
        <f t="shared" si="3"/>
        <v>1.319115324</v>
      </c>
      <c r="X4" s="17" t="str">
        <f t="shared" si="4"/>
        <v>0.1242902208</v>
      </c>
      <c r="Y4" s="17" t="str">
        <f t="shared" ref="Y4:Y512" si="9">IFERROR(O4/N4," ")</f>
        <v>30.14285714</v>
      </c>
      <c r="Z4" s="17" t="s">
        <v>34</v>
      </c>
      <c r="AA4" s="17" t="s">
        <v>34</v>
      </c>
      <c r="AB4" s="17" t="s">
        <v>36</v>
      </c>
      <c r="AC4" s="17" t="str">
        <f t="shared" si="5"/>
        <v>0.1242902208</v>
      </c>
      <c r="AD4" s="18" t="str">
        <f t="shared" ref="AD4:AD512" si="10">IFERROR(P4/O4," ")</f>
        <v>1.319115324</v>
      </c>
      <c r="AE4" s="17" t="str">
        <f t="shared" si="6"/>
        <v>9.0826686</v>
      </c>
      <c r="AF4" s="17" t="str">
        <f t="shared" ref="AF4:AF512" si="11">IFERROR(N4/P4," ")</f>
        <v>0.0251497006</v>
      </c>
      <c r="AG4" s="17" t="s">
        <v>30</v>
      </c>
      <c r="AH4" s="17" t="str">
        <f t="shared" ref="AH4:AH52" si="12">IF(AD4&lt;0.75,"Thermal Decomposition, ",IF(AD4&gt;0.75,"Arching"))</f>
        <v>Arching</v>
      </c>
      <c r="AI4" s="17" t="str">
        <f t="shared" ref="AI4:AI5" si="13">IF(AE4&lt;0.3,"Thermal Decomposition,corona ",IF(AE4&gt;0.3,"Arching"))</f>
        <v>Arching</v>
      </c>
      <c r="AJ4" s="17" t="str">
        <f t="shared" si="7"/>
        <v>Arching</v>
      </c>
    </row>
    <row r="5" ht="12.75" customHeight="1">
      <c r="A5" s="11">
        <v>3.0</v>
      </c>
      <c r="B5" s="13" t="s">
        <v>26</v>
      </c>
      <c r="C5" s="13" t="s">
        <v>27</v>
      </c>
      <c r="D5" s="13" t="s">
        <v>28</v>
      </c>
      <c r="E5" s="13" t="s">
        <v>29</v>
      </c>
      <c r="F5" s="13">
        <v>2010.0</v>
      </c>
      <c r="G5" s="14">
        <v>8.4</v>
      </c>
      <c r="H5" s="15">
        <v>2.9400000000000004</v>
      </c>
      <c r="I5" s="15">
        <v>15616.86</v>
      </c>
      <c r="J5" s="15">
        <v>65702.78400000001</v>
      </c>
      <c r="K5" s="15">
        <v>161.364</v>
      </c>
      <c r="L5" s="15">
        <v>1648.2479999999998</v>
      </c>
      <c r="M5" s="16">
        <v>7.0</v>
      </c>
      <c r="N5" s="16">
        <v>9.0</v>
      </c>
      <c r="O5" s="16">
        <v>11.0</v>
      </c>
      <c r="P5" s="14">
        <v>9.0</v>
      </c>
      <c r="Q5" s="17" t="str">
        <f t="shared" si="1"/>
        <v>0.8181818182</v>
      </c>
      <c r="R5" s="17" t="str">
        <f t="shared" si="2"/>
        <v>2.380952381</v>
      </c>
      <c r="S5" s="17" t="str">
        <f t="shared" si="8"/>
        <v>1.222222222</v>
      </c>
      <c r="T5" s="17" t="s">
        <v>30</v>
      </c>
      <c r="U5" s="17" t="s">
        <v>30</v>
      </c>
      <c r="V5" s="17" t="s">
        <v>37</v>
      </c>
      <c r="W5" s="17" t="str">
        <f t="shared" si="3"/>
        <v>0.8181818182</v>
      </c>
      <c r="X5" s="17" t="str">
        <f t="shared" si="4"/>
        <v>2.380952381</v>
      </c>
      <c r="Y5" s="17" t="str">
        <f t="shared" si="9"/>
        <v>1.222222222</v>
      </c>
      <c r="Z5" s="17" t="s">
        <v>34</v>
      </c>
      <c r="AA5" s="17" t="str">
        <f>IF(X5&lt;0.1,"Partial Discharges, ",IF(X5&gt;1,"Thermal  Fault &gt;300c and&lt;700 and &gt;700 c"))</f>
        <v>Thermal  Fault &gt;300c and&lt;700 and &gt;700 c</v>
      </c>
      <c r="AB5" s="17" t="str">
        <f t="shared" ref="AB5:AB7" si="14">IF(Y5&lt;0.2,"Partial Discharges, ",IF(Y5&gt;1,"Thermal  Fault  &gt;700 c"))</f>
        <v>Thermal  Fault  &gt;700 c</v>
      </c>
      <c r="AC5" s="17" t="str">
        <f t="shared" si="5"/>
        <v>2.380952381</v>
      </c>
      <c r="AD5" s="18" t="str">
        <f t="shared" si="10"/>
        <v>0.8181818182</v>
      </c>
      <c r="AE5" s="17" t="str">
        <f t="shared" si="6"/>
        <v>1.285714286</v>
      </c>
      <c r="AF5" s="17" t="str">
        <f t="shared" si="11"/>
        <v>1</v>
      </c>
      <c r="AG5" s="17" t="s">
        <v>38</v>
      </c>
      <c r="AH5" s="17" t="str">
        <f t="shared" si="12"/>
        <v>Arching</v>
      </c>
      <c r="AI5" s="17" t="str">
        <f t="shared" si="13"/>
        <v>Arching</v>
      </c>
      <c r="AJ5" s="17" t="str">
        <f t="shared" si="7"/>
        <v>Thermal Decomposition,corona </v>
      </c>
    </row>
    <row r="6" ht="12.75" customHeight="1">
      <c r="A6" s="11">
        <v>4.0</v>
      </c>
      <c r="B6" s="19" t="s">
        <v>39</v>
      </c>
      <c r="C6" s="19" t="s">
        <v>40</v>
      </c>
      <c r="D6" s="19" t="s">
        <v>41</v>
      </c>
      <c r="E6" s="19" t="s">
        <v>42</v>
      </c>
      <c r="F6" s="19">
        <v>1982.0</v>
      </c>
      <c r="G6" s="17">
        <v>8.2</v>
      </c>
      <c r="H6" s="16">
        <v>9.347999999999999</v>
      </c>
      <c r="I6" s="16">
        <v>15345.89</v>
      </c>
      <c r="J6" s="16">
        <v>63123.928</v>
      </c>
      <c r="K6" s="16">
        <v>196.226</v>
      </c>
      <c r="L6" s="16">
        <v>2272.466</v>
      </c>
      <c r="M6" s="16">
        <v>6.0</v>
      </c>
      <c r="N6" s="16">
        <v>2.4599999999999995</v>
      </c>
      <c r="O6" s="16">
        <v>38.047999999999995</v>
      </c>
      <c r="P6" s="16">
        <v>23.0</v>
      </c>
      <c r="Q6" s="17" t="str">
        <f t="shared" si="1"/>
        <v>0.6044995795</v>
      </c>
      <c r="R6" s="17" t="str">
        <f t="shared" si="2"/>
        <v>0.6418485237</v>
      </c>
      <c r="S6" s="17" t="str">
        <f t="shared" si="8"/>
        <v>15.46666667</v>
      </c>
      <c r="T6" s="17" t="s">
        <v>30</v>
      </c>
      <c r="U6" s="17" t="s">
        <v>31</v>
      </c>
      <c r="V6" s="17" t="str">
        <f>IF(S6&lt;1,"Partial discharge, Normal ",IF(S6&gt;3,"Arching,Thermal  Fault &gt; 700 c"))</f>
        <v>Arching,Thermal  Fault &gt; 700 c</v>
      </c>
      <c r="W6" s="17" t="str">
        <f t="shared" si="3"/>
        <v>0.6044995795</v>
      </c>
      <c r="X6" s="17" t="str">
        <f t="shared" si="4"/>
        <v>0.6418485237</v>
      </c>
      <c r="Y6" s="17" t="str">
        <f t="shared" si="9"/>
        <v>15.46666667</v>
      </c>
      <c r="Z6" s="17" t="s">
        <v>34</v>
      </c>
      <c r="AA6" s="17" t="s">
        <v>34</v>
      </c>
      <c r="AB6" s="17" t="str">
        <f t="shared" si="14"/>
        <v>Thermal  Fault  &gt;700 c</v>
      </c>
      <c r="AC6" s="17" t="str">
        <f t="shared" si="5"/>
        <v>0.6418485237</v>
      </c>
      <c r="AD6" s="18" t="str">
        <f t="shared" si="10"/>
        <v>0.6044995795</v>
      </c>
      <c r="AE6" s="17" t="str">
        <f t="shared" si="6"/>
        <v>3.833333333</v>
      </c>
      <c r="AF6" s="17" t="str">
        <f t="shared" si="11"/>
        <v>0.1069565217</v>
      </c>
      <c r="AG6" s="17" t="s">
        <v>30</v>
      </c>
      <c r="AH6" s="17" t="str">
        <f t="shared" si="12"/>
        <v>Thermal Decomposition, </v>
      </c>
      <c r="AI6" s="17" t="s">
        <v>30</v>
      </c>
      <c r="AJ6" s="17" t="str">
        <f t="shared" si="7"/>
        <v>Arching</v>
      </c>
    </row>
    <row r="7" ht="12.75" customHeight="1">
      <c r="A7" s="11">
        <v>5.0</v>
      </c>
      <c r="B7" s="19" t="s">
        <v>43</v>
      </c>
      <c r="C7" s="19" t="s">
        <v>40</v>
      </c>
      <c r="D7" s="19" t="s">
        <v>41</v>
      </c>
      <c r="E7" s="19" t="s">
        <v>44</v>
      </c>
      <c r="F7" s="17">
        <v>2005.0</v>
      </c>
      <c r="G7" s="17">
        <v>7.8</v>
      </c>
      <c r="H7" s="16">
        <v>4.758</v>
      </c>
      <c r="I7" s="16">
        <v>14397.006</v>
      </c>
      <c r="J7" s="16">
        <v>60962.225999999995</v>
      </c>
      <c r="K7" s="16">
        <v>179.712</v>
      </c>
      <c r="L7" s="16">
        <v>1573.494</v>
      </c>
      <c r="M7" s="16">
        <v>2.1839999999999997</v>
      </c>
      <c r="N7" s="16">
        <v>6.162</v>
      </c>
      <c r="O7" s="16">
        <v>8.658000000000001</v>
      </c>
      <c r="P7" s="16">
        <v>12.0</v>
      </c>
      <c r="Q7" s="17" t="str">
        <f t="shared" si="1"/>
        <v>1.386001386</v>
      </c>
      <c r="R7" s="17" t="str">
        <f t="shared" si="2"/>
        <v>0.4590163934</v>
      </c>
      <c r="S7" s="17" t="str">
        <f t="shared" si="8"/>
        <v>1.405063291</v>
      </c>
      <c r="T7" s="17" t="s">
        <v>30</v>
      </c>
      <c r="U7" s="17" t="s">
        <v>31</v>
      </c>
      <c r="V7" s="17" t="s">
        <v>37</v>
      </c>
      <c r="W7" s="17" t="str">
        <f t="shared" si="3"/>
        <v>1.386001386</v>
      </c>
      <c r="X7" s="17" t="str">
        <f t="shared" si="4"/>
        <v>0.4590163934</v>
      </c>
      <c r="Y7" s="17" t="str">
        <f t="shared" si="9"/>
        <v>1.405063291</v>
      </c>
      <c r="Z7" s="17" t="str">
        <f t="shared" ref="Z7:Z10" si="15">IF(W7&gt;1,"Discharge of Low Energy,  ",IF(W7&lt;0.1,"Thermal  Fault&gt; 300c and&lt;700 c"))</f>
        <v>Discharge of Low Energy,  </v>
      </c>
      <c r="AA7" s="17" t="s">
        <v>34</v>
      </c>
      <c r="AB7" s="17" t="str">
        <f t="shared" si="14"/>
        <v>Thermal  Fault  &gt;700 c</v>
      </c>
      <c r="AC7" s="17" t="str">
        <f t="shared" si="5"/>
        <v>0.4590163934</v>
      </c>
      <c r="AD7" s="18" t="str">
        <f t="shared" si="10"/>
        <v>1.386001386</v>
      </c>
      <c r="AE7" s="17" t="str">
        <f t="shared" si="6"/>
        <v>5.494505495</v>
      </c>
      <c r="AF7" s="17" t="str">
        <f t="shared" si="11"/>
        <v>0.5135</v>
      </c>
      <c r="AG7" s="17" t="s">
        <v>30</v>
      </c>
      <c r="AH7" s="17" t="str">
        <f t="shared" si="12"/>
        <v>Arching</v>
      </c>
      <c r="AI7" s="17" t="str">
        <f t="shared" ref="AI7:AI512" si="16">IF(AE7&lt;0.3,"Thermal Decomposition,corona ",IF(AE7&gt;0.3,"Arching"))</f>
        <v>Arching</v>
      </c>
      <c r="AJ7" s="17" t="str">
        <f t="shared" si="7"/>
        <v>Thermal Decomposition,corona </v>
      </c>
    </row>
    <row r="8" ht="12.75" customHeight="1">
      <c r="A8" s="11">
        <v>6.0</v>
      </c>
      <c r="B8" s="19" t="s">
        <v>45</v>
      </c>
      <c r="C8" s="19" t="s">
        <v>40</v>
      </c>
      <c r="D8" s="19" t="s">
        <v>41</v>
      </c>
      <c r="E8" s="19" t="s">
        <v>46</v>
      </c>
      <c r="F8" s="17">
        <v>2006.0</v>
      </c>
      <c r="G8" s="17">
        <v>8.2</v>
      </c>
      <c r="H8" s="16">
        <v>5.904</v>
      </c>
      <c r="I8" s="16">
        <v>15182.955999999998</v>
      </c>
      <c r="J8" s="16">
        <v>63176.162</v>
      </c>
      <c r="K8" s="16">
        <v>223.53199999999998</v>
      </c>
      <c r="L8" s="16">
        <v>2445.486</v>
      </c>
      <c r="M8" s="16">
        <v>13.038</v>
      </c>
      <c r="N8" s="16">
        <v>57.236</v>
      </c>
      <c r="O8" s="16">
        <v>18.203999999999997</v>
      </c>
      <c r="P8" s="16">
        <v>34.0</v>
      </c>
      <c r="Q8" s="17" t="str">
        <f t="shared" si="1"/>
        <v>1.86772138</v>
      </c>
      <c r="R8" s="17" t="str">
        <f t="shared" si="2"/>
        <v>2.208333333</v>
      </c>
      <c r="S8" s="17" t="str">
        <f t="shared" si="8"/>
        <v>0.3180515759</v>
      </c>
      <c r="T8" s="17" t="s">
        <v>30</v>
      </c>
      <c r="U8" s="17" t="str">
        <f t="shared" ref="U8:U9" si="17">IF(R8&gt;1,"Thermal Fault &lt;700c, thermal fault &gt;700c ")</f>
        <v>Thermal Fault &lt;700c, thermal fault &gt;700c </v>
      </c>
      <c r="V8" s="17" t="str">
        <f t="shared" ref="V8:V12" si="18">IF(S8&lt;1,"Partial discharge, Normal ",IF(S8&gt;3,"Arching,Thermal  Fault &gt; 700 c"))</f>
        <v>Partial discharge, Normal </v>
      </c>
      <c r="W8" s="17" t="str">
        <f t="shared" si="3"/>
        <v>1.86772138</v>
      </c>
      <c r="X8" s="17" t="str">
        <f t="shared" si="4"/>
        <v>2.208333333</v>
      </c>
      <c r="Y8" s="17" t="str">
        <f t="shared" si="9"/>
        <v>0.3180515759</v>
      </c>
      <c r="Z8" s="17" t="str">
        <f t="shared" si="15"/>
        <v>Discharge of Low Energy,  </v>
      </c>
      <c r="AA8" s="17" t="s">
        <v>34</v>
      </c>
      <c r="AB8" s="17" t="s">
        <v>35</v>
      </c>
      <c r="AC8" s="17" t="str">
        <f t="shared" si="5"/>
        <v>2.208333333</v>
      </c>
      <c r="AD8" s="18" t="str">
        <f t="shared" si="10"/>
        <v>1.86772138</v>
      </c>
      <c r="AE8" s="17" t="str">
        <f t="shared" si="6"/>
        <v>2.607761927</v>
      </c>
      <c r="AF8" s="17" t="str">
        <f t="shared" si="11"/>
        <v>1.683411765</v>
      </c>
      <c r="AG8" s="17" t="s">
        <v>38</v>
      </c>
      <c r="AH8" s="17" t="str">
        <f t="shared" si="12"/>
        <v>Arching</v>
      </c>
      <c r="AI8" s="17" t="str">
        <f t="shared" si="16"/>
        <v>Arching</v>
      </c>
      <c r="AJ8" s="17" t="str">
        <f t="shared" si="7"/>
        <v>Thermal Decomposition,corona </v>
      </c>
    </row>
    <row r="9" ht="12.75" customHeight="1">
      <c r="A9" s="11">
        <v>7.0</v>
      </c>
      <c r="B9" s="19" t="s">
        <v>47</v>
      </c>
      <c r="C9" s="19" t="s">
        <v>40</v>
      </c>
      <c r="D9" s="19" t="s">
        <v>41</v>
      </c>
      <c r="E9" s="19" t="s">
        <v>44</v>
      </c>
      <c r="F9" s="17">
        <v>2003.0</v>
      </c>
      <c r="G9" s="17">
        <v>8.4</v>
      </c>
      <c r="H9" s="15">
        <v>7.476000000000001</v>
      </c>
      <c r="I9" s="15">
        <v>15497.244</v>
      </c>
      <c r="J9" s="15">
        <v>65034.31200000001</v>
      </c>
      <c r="K9" s="15">
        <v>195.048</v>
      </c>
      <c r="L9" s="15">
        <v>2150.9040000000005</v>
      </c>
      <c r="M9" s="16">
        <v>13.020000000000001</v>
      </c>
      <c r="N9" s="16">
        <v>111.30000000000003</v>
      </c>
      <c r="O9" s="16">
        <v>27.3</v>
      </c>
      <c r="P9" s="16">
        <v>43.0</v>
      </c>
      <c r="Q9" s="17" t="str">
        <f t="shared" si="1"/>
        <v>1.575091575</v>
      </c>
      <c r="R9" s="17" t="str">
        <f t="shared" si="2"/>
        <v>1.741573034</v>
      </c>
      <c r="S9" s="17" t="str">
        <f t="shared" si="8"/>
        <v>0.2452830189</v>
      </c>
      <c r="T9" s="17" t="s">
        <v>30</v>
      </c>
      <c r="U9" s="17" t="str">
        <f t="shared" si="17"/>
        <v>Thermal Fault &lt;700c, thermal fault &gt;700c </v>
      </c>
      <c r="V9" s="17" t="str">
        <f t="shared" si="18"/>
        <v>Partial discharge, Normal </v>
      </c>
      <c r="W9" s="17" t="str">
        <f t="shared" si="3"/>
        <v>1.575091575</v>
      </c>
      <c r="X9" s="17" t="str">
        <f t="shared" si="4"/>
        <v>1.741573034</v>
      </c>
      <c r="Y9" s="17" t="str">
        <f t="shared" si="9"/>
        <v>0.2452830189</v>
      </c>
      <c r="Z9" s="17" t="str">
        <f t="shared" si="15"/>
        <v>Discharge of Low Energy,  </v>
      </c>
      <c r="AA9" s="17" t="s">
        <v>48</v>
      </c>
      <c r="AB9" s="17" t="s">
        <v>35</v>
      </c>
      <c r="AC9" s="17" t="str">
        <f t="shared" si="5"/>
        <v>1.741573034</v>
      </c>
      <c r="AD9" s="18" t="str">
        <f t="shared" si="10"/>
        <v>1.575091575</v>
      </c>
      <c r="AE9" s="17" t="str">
        <f t="shared" si="6"/>
        <v>3.302611367</v>
      </c>
      <c r="AF9" s="17" t="str">
        <f t="shared" si="11"/>
        <v>2.588372093</v>
      </c>
      <c r="AG9" s="17" t="str">
        <f>IF(AC9&gt;1,"Thermal Decomposition, ",IF(AC9&lt;0.1,"Corona,Arching"))</f>
        <v>Thermal Decomposition, </v>
      </c>
      <c r="AH9" s="17" t="str">
        <f t="shared" si="12"/>
        <v>Arching</v>
      </c>
      <c r="AI9" s="17" t="str">
        <f t="shared" si="16"/>
        <v>Arching</v>
      </c>
      <c r="AJ9" s="17" t="str">
        <f t="shared" si="7"/>
        <v>Thermal Decomposition,corona </v>
      </c>
    </row>
    <row r="10" ht="12.75" customHeight="1">
      <c r="A10" s="11">
        <v>8.0</v>
      </c>
      <c r="B10" s="19">
        <v>172578.0</v>
      </c>
      <c r="C10" s="19" t="s">
        <v>40</v>
      </c>
      <c r="D10" s="19" t="s">
        <v>41</v>
      </c>
      <c r="E10" s="19" t="s">
        <v>46</v>
      </c>
      <c r="F10" s="17">
        <v>2006.0</v>
      </c>
      <c r="G10" s="17">
        <v>8.6</v>
      </c>
      <c r="H10" s="16">
        <v>5.332</v>
      </c>
      <c r="I10" s="16">
        <v>15666.791999999998</v>
      </c>
      <c r="J10" s="16">
        <v>66793.01800000001</v>
      </c>
      <c r="K10" s="16">
        <v>190.662</v>
      </c>
      <c r="L10" s="16">
        <v>2283.2999999999997</v>
      </c>
      <c r="M10" s="16">
        <v>2.15</v>
      </c>
      <c r="N10" s="16">
        <v>13.33</v>
      </c>
      <c r="O10" s="16">
        <v>5.59</v>
      </c>
      <c r="P10" s="16">
        <v>10.0</v>
      </c>
      <c r="Q10" s="17" t="str">
        <f t="shared" si="1"/>
        <v>1.788908766</v>
      </c>
      <c r="R10" s="17" t="str">
        <f t="shared" si="2"/>
        <v>0.4032258065</v>
      </c>
      <c r="S10" s="17" t="str">
        <f t="shared" si="8"/>
        <v>0.4193548387</v>
      </c>
      <c r="T10" s="17" t="s">
        <v>30</v>
      </c>
      <c r="U10" s="17" t="s">
        <v>31</v>
      </c>
      <c r="V10" s="17" t="str">
        <f t="shared" si="18"/>
        <v>Partial discharge, Normal </v>
      </c>
      <c r="W10" s="17" t="str">
        <f t="shared" si="3"/>
        <v>1.788908766</v>
      </c>
      <c r="X10" s="17" t="str">
        <f t="shared" si="4"/>
        <v>0.4032258065</v>
      </c>
      <c r="Y10" s="17" t="str">
        <f t="shared" si="9"/>
        <v>0.4193548387</v>
      </c>
      <c r="Z10" s="17" t="str">
        <f t="shared" si="15"/>
        <v>Discharge of Low Energy,  </v>
      </c>
      <c r="AA10" s="17" t="s">
        <v>34</v>
      </c>
      <c r="AB10" s="17" t="s">
        <v>35</v>
      </c>
      <c r="AC10" s="17" t="str">
        <f t="shared" si="5"/>
        <v>0.4032258065</v>
      </c>
      <c r="AD10" s="18" t="str">
        <f t="shared" si="10"/>
        <v>1.788908766</v>
      </c>
      <c r="AE10" s="17" t="str">
        <f t="shared" si="6"/>
        <v>4.651162791</v>
      </c>
      <c r="AF10" s="17" t="str">
        <f t="shared" si="11"/>
        <v>1.333</v>
      </c>
      <c r="AG10" s="17" t="s">
        <v>30</v>
      </c>
      <c r="AH10" s="17" t="str">
        <f t="shared" si="12"/>
        <v>Arching</v>
      </c>
      <c r="AI10" s="17" t="str">
        <f t="shared" si="16"/>
        <v>Arching</v>
      </c>
      <c r="AJ10" s="17" t="str">
        <f t="shared" si="7"/>
        <v>Thermal Decomposition,corona </v>
      </c>
    </row>
    <row r="11" ht="12.75" customHeight="1">
      <c r="A11" s="11">
        <v>9.0</v>
      </c>
      <c r="B11" s="19" t="s">
        <v>49</v>
      </c>
      <c r="C11" s="19" t="s">
        <v>40</v>
      </c>
      <c r="D11" s="19" t="s">
        <v>50</v>
      </c>
      <c r="E11" s="19" t="s">
        <v>51</v>
      </c>
      <c r="F11" s="17">
        <v>2002.0</v>
      </c>
      <c r="G11" s="17">
        <v>7.8</v>
      </c>
      <c r="H11" s="16">
        <v>7.487999999999999</v>
      </c>
      <c r="I11" s="16">
        <v>14384.994</v>
      </c>
      <c r="J11" s="16">
        <v>59960.238000000005</v>
      </c>
      <c r="K11" s="16">
        <v>269.334</v>
      </c>
      <c r="L11" s="16">
        <v>2765.334</v>
      </c>
      <c r="M11" s="16">
        <v>18.953999999999997</v>
      </c>
      <c r="N11" s="16">
        <v>7.722000000000001</v>
      </c>
      <c r="O11" s="16">
        <v>31.122</v>
      </c>
      <c r="P11" s="16">
        <v>25.0</v>
      </c>
      <c r="Q11" s="17" t="str">
        <f t="shared" si="1"/>
        <v>0.803290277</v>
      </c>
      <c r="R11" s="17" t="str">
        <f t="shared" si="2"/>
        <v>2.53125</v>
      </c>
      <c r="S11" s="17" t="str">
        <f t="shared" si="8"/>
        <v>4.03030303</v>
      </c>
      <c r="T11" s="17" t="str">
        <f>IF(Q11&lt;1,"Partial discharge,Low Temprature thermal fault,")</f>
        <v>Partial discharge,Low Temprature thermal fault,</v>
      </c>
      <c r="U11" s="17" t="str">
        <f t="shared" ref="U11:U15" si="19">IF(R11&gt;1,"Thermal Fault &lt;700c, thermal fault &gt;700c ")</f>
        <v>Thermal Fault &lt;700c, thermal fault &gt;700c </v>
      </c>
      <c r="V11" s="17" t="str">
        <f t="shared" si="18"/>
        <v>Arching,Thermal  Fault &gt; 700 c</v>
      </c>
      <c r="W11" s="17" t="str">
        <f t="shared" si="3"/>
        <v>0.803290277</v>
      </c>
      <c r="X11" s="17" t="str">
        <f t="shared" si="4"/>
        <v>2.53125</v>
      </c>
      <c r="Y11" s="17" t="str">
        <f t="shared" si="9"/>
        <v>4.03030303</v>
      </c>
      <c r="Z11" s="17" t="s">
        <v>34</v>
      </c>
      <c r="AA11" s="17" t="str">
        <f t="shared" ref="AA11:AA15" si="20">IF(X11&lt;0.1,"Partial Discharges, ",IF(X11&gt;1,"Thermal  Fault &gt;300c and&lt;700 and &gt;700 c"))</f>
        <v>Thermal  Fault &gt;300c and&lt;700 and &gt;700 c</v>
      </c>
      <c r="AB11" s="17" t="str">
        <f>IF(Y11&lt;0.2,"Partial Discharges, ",IF(Y11&gt;1,"Thermal  Fault  &gt;700 c"))</f>
        <v>Thermal  Fault  &gt;700 c</v>
      </c>
      <c r="AC11" s="17" t="str">
        <f t="shared" si="5"/>
        <v>2.53125</v>
      </c>
      <c r="AD11" s="18" t="str">
        <f t="shared" si="10"/>
        <v>0.803290277</v>
      </c>
      <c r="AE11" s="17" t="str">
        <f t="shared" si="6"/>
        <v>1.3189828</v>
      </c>
      <c r="AF11" s="17" t="str">
        <f t="shared" si="11"/>
        <v>0.30888</v>
      </c>
      <c r="AG11" s="17" t="str">
        <f t="shared" ref="AG11:AG15" si="21">IF(AC11&gt;1,"Thermal Decomposition, ",IF(AC11&lt;0.1,"Corona,Arching"))</f>
        <v>Thermal Decomposition, </v>
      </c>
      <c r="AH11" s="17" t="str">
        <f t="shared" si="12"/>
        <v>Arching</v>
      </c>
      <c r="AI11" s="17" t="str">
        <f t="shared" si="16"/>
        <v>Arching</v>
      </c>
      <c r="AJ11" s="17" t="str">
        <f t="shared" si="7"/>
        <v>Arching</v>
      </c>
    </row>
    <row r="12" ht="12.75" customHeight="1">
      <c r="A12" s="11">
        <v>10.0</v>
      </c>
      <c r="B12" s="19">
        <v>69546.0</v>
      </c>
      <c r="C12" s="19" t="s">
        <v>40</v>
      </c>
      <c r="D12" s="19" t="s">
        <v>41</v>
      </c>
      <c r="E12" s="19" t="s">
        <v>52</v>
      </c>
      <c r="F12" s="17">
        <v>2012.0</v>
      </c>
      <c r="G12" s="17">
        <v>8.1</v>
      </c>
      <c r="H12" s="16">
        <v>5.5889999999999995</v>
      </c>
      <c r="I12" s="16">
        <v>15002.739</v>
      </c>
      <c r="J12" s="16">
        <v>61258.113000000005</v>
      </c>
      <c r="K12" s="16">
        <v>353.808</v>
      </c>
      <c r="L12" s="16">
        <v>3861.836999999999</v>
      </c>
      <c r="M12" s="16">
        <v>7.3709999999999996</v>
      </c>
      <c r="N12" s="17">
        <v>6.0</v>
      </c>
      <c r="O12" s="17">
        <v>4.0</v>
      </c>
      <c r="P12" s="17">
        <v>8.0</v>
      </c>
      <c r="Q12" s="17" t="str">
        <f t="shared" si="1"/>
        <v>2</v>
      </c>
      <c r="R12" s="17" t="str">
        <f t="shared" si="2"/>
        <v>1.31884058</v>
      </c>
      <c r="S12" s="17" t="str">
        <f t="shared" si="8"/>
        <v>0.6666666667</v>
      </c>
      <c r="T12" s="17" t="s">
        <v>30</v>
      </c>
      <c r="U12" s="17" t="str">
        <f t="shared" si="19"/>
        <v>Thermal Fault &lt;700c, thermal fault &gt;700c </v>
      </c>
      <c r="V12" s="17" t="str">
        <f t="shared" si="18"/>
        <v>Partial discharge, Normal </v>
      </c>
      <c r="W12" s="17" t="str">
        <f t="shared" si="3"/>
        <v>2</v>
      </c>
      <c r="X12" s="17" t="str">
        <f t="shared" si="4"/>
        <v>1.31884058</v>
      </c>
      <c r="Y12" s="17" t="str">
        <f t="shared" si="9"/>
        <v>0.6666666667</v>
      </c>
      <c r="Z12" s="17" t="str">
        <f>IF(W12&gt;1,"Discharge of Low Energy,  ",IF(W12&lt;0.1,"Thermal  Fault&gt; 300c and&lt;700 c"))</f>
        <v>Discharge of Low Energy,  </v>
      </c>
      <c r="AA12" s="17" t="str">
        <f t="shared" si="20"/>
        <v>Thermal  Fault &gt;300c and&lt;700 and &gt;700 c</v>
      </c>
      <c r="AB12" s="17" t="s">
        <v>35</v>
      </c>
      <c r="AC12" s="17" t="str">
        <f t="shared" si="5"/>
        <v>1.31884058</v>
      </c>
      <c r="AD12" s="18" t="str">
        <f t="shared" si="10"/>
        <v>2</v>
      </c>
      <c r="AE12" s="17" t="str">
        <f t="shared" si="6"/>
        <v>1.085334419</v>
      </c>
      <c r="AF12" s="17" t="str">
        <f t="shared" si="11"/>
        <v>0.75</v>
      </c>
      <c r="AG12" s="17" t="str">
        <f t="shared" si="21"/>
        <v>Thermal Decomposition, </v>
      </c>
      <c r="AH12" s="17" t="str">
        <f t="shared" si="12"/>
        <v>Arching</v>
      </c>
      <c r="AI12" s="17" t="str">
        <f t="shared" si="16"/>
        <v>Arching</v>
      </c>
      <c r="AJ12" s="17" t="str">
        <f t="shared" si="7"/>
        <v>Thermal Decomposition,corona </v>
      </c>
    </row>
    <row r="13" ht="12.75" customHeight="1">
      <c r="A13" s="11">
        <v>11.0</v>
      </c>
      <c r="B13" s="19">
        <v>69543.0</v>
      </c>
      <c r="C13" s="19" t="s">
        <v>40</v>
      </c>
      <c r="D13" s="19" t="s">
        <v>41</v>
      </c>
      <c r="E13" s="19" t="s">
        <v>52</v>
      </c>
      <c r="F13" s="17">
        <v>2011.0</v>
      </c>
      <c r="G13" s="17">
        <v>8.5</v>
      </c>
      <c r="H13" s="16">
        <v>1.6150000000000002</v>
      </c>
      <c r="I13" s="16">
        <v>15602.429999999998</v>
      </c>
      <c r="J13" s="16">
        <v>65923.28</v>
      </c>
      <c r="K13" s="16">
        <v>211.905</v>
      </c>
      <c r="L13" s="16">
        <v>2347.105</v>
      </c>
      <c r="M13" s="16">
        <v>5.525</v>
      </c>
      <c r="N13" s="17">
        <v>5.0</v>
      </c>
      <c r="O13" s="17">
        <v>5.0</v>
      </c>
      <c r="P13" s="17">
        <v>4.0</v>
      </c>
      <c r="Q13" s="17" t="str">
        <f t="shared" si="1"/>
        <v>0.8</v>
      </c>
      <c r="R13" s="17" t="str">
        <f t="shared" si="2"/>
        <v>3.421052632</v>
      </c>
      <c r="S13" s="17" t="str">
        <f t="shared" si="8"/>
        <v>1</v>
      </c>
      <c r="T13" s="17" t="str">
        <f t="shared" ref="T13:T16" si="22">IF(Q13&lt;1,"Partial discharge,Low Temprature thermal fault,")</f>
        <v>Partial discharge,Low Temprature thermal fault,</v>
      </c>
      <c r="U13" s="17" t="str">
        <f t="shared" si="19"/>
        <v>Thermal Fault &lt;700c, thermal fault &gt;700c </v>
      </c>
      <c r="V13" s="17" t="s">
        <v>37</v>
      </c>
      <c r="W13" s="17" t="str">
        <f t="shared" si="3"/>
        <v>0.8</v>
      </c>
      <c r="X13" s="17" t="str">
        <f t="shared" si="4"/>
        <v>3.421052632</v>
      </c>
      <c r="Y13" s="17" t="str">
        <f t="shared" si="9"/>
        <v>1</v>
      </c>
      <c r="Z13" s="17" t="s">
        <v>34</v>
      </c>
      <c r="AA13" s="17" t="str">
        <f t="shared" si="20"/>
        <v>Thermal  Fault &gt;300c and&lt;700 and &gt;700 c</v>
      </c>
      <c r="AB13" s="17" t="s">
        <v>53</v>
      </c>
      <c r="AC13" s="17" t="str">
        <f t="shared" si="5"/>
        <v>3.421052632</v>
      </c>
      <c r="AD13" s="18" t="str">
        <f t="shared" si="10"/>
        <v>0.8</v>
      </c>
      <c r="AE13" s="17" t="str">
        <f t="shared" si="6"/>
        <v>0.7239819005</v>
      </c>
      <c r="AF13" s="17" t="str">
        <f t="shared" si="11"/>
        <v>1.25</v>
      </c>
      <c r="AG13" s="17" t="str">
        <f t="shared" si="21"/>
        <v>Thermal Decomposition, </v>
      </c>
      <c r="AH13" s="17" t="str">
        <f t="shared" si="12"/>
        <v>Arching</v>
      </c>
      <c r="AI13" s="17" t="str">
        <f t="shared" si="16"/>
        <v>Arching</v>
      </c>
      <c r="AJ13" s="17" t="str">
        <f t="shared" si="7"/>
        <v>Thermal Decomposition,corona </v>
      </c>
    </row>
    <row r="14" ht="12.75" customHeight="1">
      <c r="A14" s="11">
        <v>12.0</v>
      </c>
      <c r="B14" s="19">
        <v>69542.0</v>
      </c>
      <c r="C14" s="19" t="s">
        <v>40</v>
      </c>
      <c r="D14" s="19" t="s">
        <v>41</v>
      </c>
      <c r="E14" s="19" t="s">
        <v>52</v>
      </c>
      <c r="F14" s="17">
        <v>2011.0</v>
      </c>
      <c r="G14" s="17">
        <v>8.4</v>
      </c>
      <c r="H14" s="16">
        <v>8.063999999999998</v>
      </c>
      <c r="I14" s="16">
        <v>15280.356</v>
      </c>
      <c r="J14" s="16">
        <v>64058.484</v>
      </c>
      <c r="K14" s="16">
        <v>396.5640000000001</v>
      </c>
      <c r="L14" s="16">
        <v>3724.7279999999996</v>
      </c>
      <c r="M14" s="16">
        <v>11.34</v>
      </c>
      <c r="N14" s="16">
        <v>10.0</v>
      </c>
      <c r="O14" s="17">
        <v>10.0</v>
      </c>
      <c r="P14" s="17">
        <v>8.0</v>
      </c>
      <c r="Q14" s="17" t="str">
        <f t="shared" si="1"/>
        <v>0.8</v>
      </c>
      <c r="R14" s="17" t="str">
        <f t="shared" si="2"/>
        <v>1.40625</v>
      </c>
      <c r="S14" s="17" t="str">
        <f t="shared" si="8"/>
        <v>1</v>
      </c>
      <c r="T14" s="17" t="str">
        <f t="shared" si="22"/>
        <v>Partial discharge,Low Temprature thermal fault,</v>
      </c>
      <c r="U14" s="17" t="str">
        <f t="shared" si="19"/>
        <v>Thermal Fault &lt;700c, thermal fault &gt;700c </v>
      </c>
      <c r="V14" s="17" t="s">
        <v>37</v>
      </c>
      <c r="W14" s="17" t="str">
        <f t="shared" si="3"/>
        <v>0.8</v>
      </c>
      <c r="X14" s="17" t="str">
        <f t="shared" si="4"/>
        <v>1.40625</v>
      </c>
      <c r="Y14" s="17" t="str">
        <f t="shared" si="9"/>
        <v>1</v>
      </c>
      <c r="Z14" s="17" t="s">
        <v>34</v>
      </c>
      <c r="AA14" s="17" t="str">
        <f t="shared" si="20"/>
        <v>Thermal  Fault &gt;300c and&lt;700 and &gt;700 c</v>
      </c>
      <c r="AB14" s="17" t="s">
        <v>53</v>
      </c>
      <c r="AC14" s="17" t="str">
        <f t="shared" si="5"/>
        <v>1.40625</v>
      </c>
      <c r="AD14" s="18" t="str">
        <f t="shared" si="10"/>
        <v>0.8</v>
      </c>
      <c r="AE14" s="17" t="str">
        <f t="shared" si="6"/>
        <v>0.7054673721</v>
      </c>
      <c r="AF14" s="17" t="str">
        <f t="shared" si="11"/>
        <v>1.25</v>
      </c>
      <c r="AG14" s="17" t="str">
        <f t="shared" si="21"/>
        <v>Thermal Decomposition, </v>
      </c>
      <c r="AH14" s="17" t="str">
        <f t="shared" si="12"/>
        <v>Arching</v>
      </c>
      <c r="AI14" s="17" t="str">
        <f t="shared" si="16"/>
        <v>Arching</v>
      </c>
      <c r="AJ14" s="17" t="str">
        <f t="shared" si="7"/>
        <v>Thermal Decomposition,corona </v>
      </c>
    </row>
    <row r="15" ht="12.75" customHeight="1">
      <c r="A15" s="11">
        <v>13.0</v>
      </c>
      <c r="B15" s="19">
        <v>69545.0</v>
      </c>
      <c r="C15" s="19" t="s">
        <v>40</v>
      </c>
      <c r="D15" s="19" t="s">
        <v>41</v>
      </c>
      <c r="E15" s="19" t="s">
        <v>52</v>
      </c>
      <c r="F15" s="17">
        <v>2012.0</v>
      </c>
      <c r="G15" s="17">
        <v>8.2</v>
      </c>
      <c r="H15" s="16">
        <v>3.6899999999999995</v>
      </c>
      <c r="I15" s="16">
        <v>15127.687999999998</v>
      </c>
      <c r="J15" s="16">
        <v>64168.77199999999</v>
      </c>
      <c r="K15" s="16">
        <v>174.08599999999998</v>
      </c>
      <c r="L15" s="16">
        <v>2084.85</v>
      </c>
      <c r="M15" s="16">
        <v>5.329999999999999</v>
      </c>
      <c r="N15" s="16">
        <v>4.017999999999999</v>
      </c>
      <c r="O15" s="16">
        <v>8.856</v>
      </c>
      <c r="P15" s="16">
        <v>8.0</v>
      </c>
      <c r="Q15" s="17" t="str">
        <f t="shared" si="1"/>
        <v>0.9033423668</v>
      </c>
      <c r="R15" s="17" t="str">
        <f t="shared" si="2"/>
        <v>1.444444444</v>
      </c>
      <c r="S15" s="17" t="str">
        <f t="shared" si="8"/>
        <v>2.204081633</v>
      </c>
      <c r="T15" s="17" t="str">
        <f t="shared" si="22"/>
        <v>Partial discharge,Low Temprature thermal fault,</v>
      </c>
      <c r="U15" s="17" t="str">
        <f t="shared" si="19"/>
        <v>Thermal Fault &lt;700c, thermal fault &gt;700c </v>
      </c>
      <c r="V15" s="17" t="s">
        <v>37</v>
      </c>
      <c r="W15" s="17" t="str">
        <f t="shared" si="3"/>
        <v>0.9033423668</v>
      </c>
      <c r="X15" s="17" t="str">
        <f t="shared" si="4"/>
        <v>1.444444444</v>
      </c>
      <c r="Y15" s="17" t="str">
        <f t="shared" si="9"/>
        <v>2.204081633</v>
      </c>
      <c r="Z15" s="17" t="s">
        <v>34</v>
      </c>
      <c r="AA15" s="17" t="str">
        <f t="shared" si="20"/>
        <v>Thermal  Fault &gt;300c and&lt;700 and &gt;700 c</v>
      </c>
      <c r="AB15" s="17" t="str">
        <f t="shared" ref="AB15:AB16" si="23">IF(Y15&lt;0.2,"Partial Discharges, ",IF(Y15&gt;1,"Thermal  Fault  &gt;700 c"))</f>
        <v>Thermal  Fault  &gt;700 c</v>
      </c>
      <c r="AC15" s="17" t="str">
        <f t="shared" si="5"/>
        <v>1.444444444</v>
      </c>
      <c r="AD15" s="18" t="str">
        <f t="shared" si="10"/>
        <v>0.9033423668</v>
      </c>
      <c r="AE15" s="17" t="str">
        <f t="shared" si="6"/>
        <v>1.500938086</v>
      </c>
      <c r="AF15" s="17" t="str">
        <f t="shared" si="11"/>
        <v>0.50225</v>
      </c>
      <c r="AG15" s="17" t="str">
        <f t="shared" si="21"/>
        <v>Thermal Decomposition, </v>
      </c>
      <c r="AH15" s="17" t="str">
        <f t="shared" si="12"/>
        <v>Arching</v>
      </c>
      <c r="AI15" s="17" t="str">
        <f t="shared" si="16"/>
        <v>Arching</v>
      </c>
      <c r="AJ15" s="17" t="str">
        <f t="shared" si="7"/>
        <v>Thermal Decomposition,corona </v>
      </c>
    </row>
    <row r="16" ht="12.75" customHeight="1">
      <c r="A16" s="11">
        <v>14.0</v>
      </c>
      <c r="B16" s="19" t="s">
        <v>54</v>
      </c>
      <c r="C16" s="19" t="s">
        <v>40</v>
      </c>
      <c r="D16" s="19" t="s">
        <v>41</v>
      </c>
      <c r="E16" s="19" t="s">
        <v>55</v>
      </c>
      <c r="F16" s="17">
        <v>2008.0</v>
      </c>
      <c r="G16" s="17">
        <v>8.4</v>
      </c>
      <c r="H16" s="16">
        <v>5.1240000000000006</v>
      </c>
      <c r="I16" s="16">
        <v>15196.272000000003</v>
      </c>
      <c r="J16" s="16">
        <v>65697.072</v>
      </c>
      <c r="K16" s="16">
        <v>185.304</v>
      </c>
      <c r="L16" s="16">
        <v>2039.6040000000003</v>
      </c>
      <c r="M16" s="16">
        <v>2.9400000000000004</v>
      </c>
      <c r="N16" s="16">
        <v>2.1</v>
      </c>
      <c r="O16" s="16">
        <v>5.796</v>
      </c>
      <c r="P16" s="16">
        <v>5.0</v>
      </c>
      <c r="Q16" s="17" t="str">
        <f t="shared" si="1"/>
        <v>0.8626639061</v>
      </c>
      <c r="R16" s="17" t="str">
        <f t="shared" si="2"/>
        <v>0.5737704918</v>
      </c>
      <c r="S16" s="17" t="str">
        <f t="shared" si="8"/>
        <v>2.76</v>
      </c>
      <c r="T16" s="17" t="str">
        <f t="shared" si="22"/>
        <v>Partial discharge,Low Temprature thermal fault,</v>
      </c>
      <c r="U16" s="17" t="s">
        <v>31</v>
      </c>
      <c r="V16" s="17" t="s">
        <v>37</v>
      </c>
      <c r="W16" s="17" t="str">
        <f t="shared" si="3"/>
        <v>0.8626639061</v>
      </c>
      <c r="X16" s="17" t="str">
        <f t="shared" si="4"/>
        <v>0.5737704918</v>
      </c>
      <c r="Y16" s="17" t="str">
        <f t="shared" si="9"/>
        <v>2.76</v>
      </c>
      <c r="Z16" s="17" t="s">
        <v>34</v>
      </c>
      <c r="AA16" s="17" t="s">
        <v>34</v>
      </c>
      <c r="AB16" s="17" t="str">
        <f t="shared" si="23"/>
        <v>Thermal  Fault  &gt;700 c</v>
      </c>
      <c r="AC16" s="17" t="str">
        <f t="shared" si="5"/>
        <v>0.5737704918</v>
      </c>
      <c r="AD16" s="18" t="str">
        <f t="shared" si="10"/>
        <v>0.8626639061</v>
      </c>
      <c r="AE16" s="17" t="str">
        <f t="shared" si="6"/>
        <v>1.700680272</v>
      </c>
      <c r="AF16" s="17" t="str">
        <f t="shared" si="11"/>
        <v>0.42</v>
      </c>
      <c r="AG16" s="17" t="s">
        <v>30</v>
      </c>
      <c r="AH16" s="17" t="str">
        <f t="shared" si="12"/>
        <v>Arching</v>
      </c>
      <c r="AI16" s="17" t="str">
        <f t="shared" si="16"/>
        <v>Arching</v>
      </c>
      <c r="AJ16" s="17" t="str">
        <f t="shared" si="7"/>
        <v>Thermal Decomposition,corona </v>
      </c>
    </row>
    <row r="17" ht="12.75" customHeight="1">
      <c r="A17" s="11">
        <v>15.0</v>
      </c>
      <c r="B17" s="19">
        <v>2165.0</v>
      </c>
      <c r="C17" s="19" t="s">
        <v>40</v>
      </c>
      <c r="D17" s="19" t="s">
        <v>41</v>
      </c>
      <c r="E17" s="19" t="s">
        <v>56</v>
      </c>
      <c r="F17" s="17">
        <v>2013.0</v>
      </c>
      <c r="G17" s="17">
        <v>8.5</v>
      </c>
      <c r="H17" s="16">
        <v>8.415000000000001</v>
      </c>
      <c r="I17" s="16">
        <v>15522.954999999998</v>
      </c>
      <c r="J17" s="16">
        <v>65567.385</v>
      </c>
      <c r="K17" s="16">
        <v>233.57999999999998</v>
      </c>
      <c r="L17" s="16">
        <v>2540.48</v>
      </c>
      <c r="M17" s="16">
        <v>7.2250000000000005</v>
      </c>
      <c r="N17" s="16">
        <v>9.0</v>
      </c>
      <c r="O17" s="16">
        <v>8.0</v>
      </c>
      <c r="P17" s="16">
        <v>8.0</v>
      </c>
      <c r="Q17" s="17" t="str">
        <f t="shared" si="1"/>
        <v>1</v>
      </c>
      <c r="R17" s="17" t="str">
        <f t="shared" si="2"/>
        <v>0.8585858586</v>
      </c>
      <c r="S17" s="17" t="str">
        <f t="shared" si="8"/>
        <v>0.8888888889</v>
      </c>
      <c r="T17" s="17" t="s">
        <v>30</v>
      </c>
      <c r="U17" s="17" t="s">
        <v>31</v>
      </c>
      <c r="V17" s="17" t="str">
        <f>IF(S17&lt;1,"Partial discharge, Normal ",IF(S17&gt;3,"Arching,Thermal  Fault &gt; 700 c"))</f>
        <v>Partial discharge, Normal </v>
      </c>
      <c r="W17" s="17" t="str">
        <f t="shared" si="3"/>
        <v>1</v>
      </c>
      <c r="X17" s="17" t="str">
        <f t="shared" si="4"/>
        <v>0.8585858586</v>
      </c>
      <c r="Y17" s="17" t="str">
        <f t="shared" si="9"/>
        <v>0.8888888889</v>
      </c>
      <c r="Z17" s="17" t="s">
        <v>34</v>
      </c>
      <c r="AA17" s="17" t="s">
        <v>34</v>
      </c>
      <c r="AB17" s="17" t="s">
        <v>53</v>
      </c>
      <c r="AC17" s="17" t="str">
        <f t="shared" si="5"/>
        <v>0.8585858586</v>
      </c>
      <c r="AD17" s="18" t="str">
        <f t="shared" si="10"/>
        <v>1</v>
      </c>
      <c r="AE17" s="17" t="str">
        <f t="shared" si="6"/>
        <v>1.107266436</v>
      </c>
      <c r="AF17" s="17" t="str">
        <f t="shared" si="11"/>
        <v>1.125</v>
      </c>
      <c r="AG17" s="17" t="s">
        <v>30</v>
      </c>
      <c r="AH17" s="17" t="str">
        <f t="shared" si="12"/>
        <v>Arching</v>
      </c>
      <c r="AI17" s="17" t="str">
        <f t="shared" si="16"/>
        <v>Arching</v>
      </c>
      <c r="AJ17" s="17" t="str">
        <f t="shared" si="7"/>
        <v>Thermal Decomposition,corona </v>
      </c>
    </row>
    <row r="18" ht="12.75" customHeight="1">
      <c r="A18" s="11">
        <v>16.0</v>
      </c>
      <c r="B18" s="19">
        <v>95589.0</v>
      </c>
      <c r="C18" s="19" t="s">
        <v>40</v>
      </c>
      <c r="D18" s="19" t="s">
        <v>41</v>
      </c>
      <c r="E18" s="19" t="s">
        <v>52</v>
      </c>
      <c r="F18" s="17">
        <v>2015.0</v>
      </c>
      <c r="G18" s="17">
        <v>8.0</v>
      </c>
      <c r="H18" s="16">
        <v>9.520000000000001</v>
      </c>
      <c r="I18" s="16">
        <v>14900.960000000001</v>
      </c>
      <c r="J18" s="16">
        <v>60161.52</v>
      </c>
      <c r="K18" s="16">
        <v>387.84000000000003</v>
      </c>
      <c r="L18" s="16">
        <v>3842.96</v>
      </c>
      <c r="M18" s="16">
        <v>18.32</v>
      </c>
      <c r="N18" s="16">
        <v>4.08</v>
      </c>
      <c r="O18" s="16">
        <v>11.84</v>
      </c>
      <c r="P18" s="16">
        <v>18.0</v>
      </c>
      <c r="Q18" s="17" t="str">
        <f t="shared" si="1"/>
        <v>1.52027027</v>
      </c>
      <c r="R18" s="17" t="str">
        <f t="shared" si="2"/>
        <v>1.924369748</v>
      </c>
      <c r="S18" s="17" t="str">
        <f t="shared" si="8"/>
        <v>2.901960784</v>
      </c>
      <c r="T18" s="17" t="s">
        <v>30</v>
      </c>
      <c r="U18" s="17" t="str">
        <f t="shared" ref="U18:U20" si="24">IF(R18&gt;1,"Thermal Fault &lt;700c, thermal fault &gt;700c ")</f>
        <v>Thermal Fault &lt;700c, thermal fault &gt;700c </v>
      </c>
      <c r="V18" s="17" t="s">
        <v>37</v>
      </c>
      <c r="W18" s="17" t="str">
        <f t="shared" si="3"/>
        <v>1.52027027</v>
      </c>
      <c r="X18" s="17" t="str">
        <f t="shared" si="4"/>
        <v>1.924369748</v>
      </c>
      <c r="Y18" s="17" t="str">
        <f t="shared" si="9"/>
        <v>2.901960784</v>
      </c>
      <c r="Z18" s="17" t="str">
        <f>IF(W18&gt;1,"Discharge of Low Energy,  ",IF(W18&lt;0.1,"Thermal  Fault&gt; 300c and&lt;700 c"))</f>
        <v>Discharge of Low Energy,  </v>
      </c>
      <c r="AA18" s="17" t="str">
        <f t="shared" ref="AA18:AA20" si="25">IF(X18&lt;0.1,"Partial Discharges, ",IF(X18&gt;1,"Thermal  Fault &gt;300c and&lt;700 and &gt;700 c"))</f>
        <v>Thermal  Fault &gt;300c and&lt;700 and &gt;700 c</v>
      </c>
      <c r="AB18" s="17" t="str">
        <f t="shared" ref="AB18:AB19" si="26">IF(Y18&lt;0.2,"Partial Discharges, ",IF(Y18&gt;1,"Thermal  Fault  &gt;700 c"))</f>
        <v>Thermal  Fault  &gt;700 c</v>
      </c>
      <c r="AC18" s="17" t="str">
        <f t="shared" si="5"/>
        <v>1.924369748</v>
      </c>
      <c r="AD18" s="18" t="str">
        <f t="shared" si="10"/>
        <v>1.52027027</v>
      </c>
      <c r="AE18" s="17" t="str">
        <f t="shared" si="6"/>
        <v>0.9825327511</v>
      </c>
      <c r="AF18" s="17" t="str">
        <f t="shared" si="11"/>
        <v>0.2266666667</v>
      </c>
      <c r="AG18" s="17" t="str">
        <f t="shared" ref="AG18:AG20" si="27">IF(AC18&gt;1,"Thermal Decomposition, ",IF(AC18&lt;0.1,"Corona,Arching"))</f>
        <v>Thermal Decomposition, </v>
      </c>
      <c r="AH18" s="17" t="str">
        <f t="shared" si="12"/>
        <v>Arching</v>
      </c>
      <c r="AI18" s="17" t="str">
        <f t="shared" si="16"/>
        <v>Arching</v>
      </c>
      <c r="AJ18" s="17" t="str">
        <f t="shared" si="7"/>
        <v>Arching</v>
      </c>
    </row>
    <row r="19" ht="12.75" customHeight="1">
      <c r="A19" s="11">
        <v>17.0</v>
      </c>
      <c r="B19" s="19">
        <v>62444.0</v>
      </c>
      <c r="C19" s="19" t="s">
        <v>40</v>
      </c>
      <c r="D19" s="19" t="s">
        <v>41</v>
      </c>
      <c r="E19" s="19" t="s">
        <v>52</v>
      </c>
      <c r="F19" s="17">
        <v>2010.0</v>
      </c>
      <c r="G19" s="17">
        <v>8.5</v>
      </c>
      <c r="H19" s="16">
        <v>12.58</v>
      </c>
      <c r="I19" s="16">
        <v>16844.025</v>
      </c>
      <c r="J19" s="16">
        <v>60794.975</v>
      </c>
      <c r="K19" s="16">
        <v>603.3299999999999</v>
      </c>
      <c r="L19" s="16">
        <v>5941.755000000001</v>
      </c>
      <c r="M19" s="16">
        <v>21.675</v>
      </c>
      <c r="N19" s="16">
        <v>16.065</v>
      </c>
      <c r="O19" s="16">
        <v>114.92</v>
      </c>
      <c r="P19" s="16">
        <v>100.0</v>
      </c>
      <c r="Q19" s="17" t="str">
        <f t="shared" si="1"/>
        <v>0.8701705534</v>
      </c>
      <c r="R19" s="17" t="str">
        <f t="shared" si="2"/>
        <v>1.722972973</v>
      </c>
      <c r="S19" s="17" t="str">
        <f t="shared" si="8"/>
        <v>7.153439153</v>
      </c>
      <c r="T19" s="17" t="str">
        <f t="shared" ref="T19:T20" si="28">IF(Q19&lt;1,"Partial discharge,Low Temprature thermal fault,")</f>
        <v>Partial discharge,Low Temprature thermal fault,</v>
      </c>
      <c r="U19" s="17" t="str">
        <f t="shared" si="24"/>
        <v>Thermal Fault &lt;700c, thermal fault &gt;700c </v>
      </c>
      <c r="V19" s="17" t="str">
        <f t="shared" ref="V19:V21" si="29">IF(S19&lt;1,"Partial discharge, Normal ",IF(S19&gt;3,"Arching,Thermal  Fault &gt; 700 c"))</f>
        <v>Arching,Thermal  Fault &gt; 700 c</v>
      </c>
      <c r="W19" s="17" t="str">
        <f t="shared" si="3"/>
        <v>0.8701705534</v>
      </c>
      <c r="X19" s="17" t="str">
        <f t="shared" si="4"/>
        <v>1.722972973</v>
      </c>
      <c r="Y19" s="17" t="str">
        <f t="shared" si="9"/>
        <v>7.153439153</v>
      </c>
      <c r="Z19" s="17" t="s">
        <v>34</v>
      </c>
      <c r="AA19" s="17" t="str">
        <f t="shared" si="25"/>
        <v>Thermal  Fault &gt;300c and&lt;700 and &gt;700 c</v>
      </c>
      <c r="AB19" s="17" t="str">
        <f t="shared" si="26"/>
        <v>Thermal  Fault  &gt;700 c</v>
      </c>
      <c r="AC19" s="17" t="str">
        <f t="shared" si="5"/>
        <v>1.722972973</v>
      </c>
      <c r="AD19" s="18" t="str">
        <f t="shared" si="10"/>
        <v>0.8701705534</v>
      </c>
      <c r="AE19" s="17" t="str">
        <f t="shared" si="6"/>
        <v>4.61361015</v>
      </c>
      <c r="AF19" s="17" t="str">
        <f t="shared" si="11"/>
        <v>0.16065</v>
      </c>
      <c r="AG19" s="17" t="str">
        <f t="shared" si="27"/>
        <v>Thermal Decomposition, </v>
      </c>
      <c r="AH19" s="17" t="str">
        <f t="shared" si="12"/>
        <v>Arching</v>
      </c>
      <c r="AI19" s="17" t="str">
        <f t="shared" si="16"/>
        <v>Arching</v>
      </c>
      <c r="AJ19" s="17" t="str">
        <f t="shared" si="7"/>
        <v>Arching</v>
      </c>
    </row>
    <row r="20" ht="12.75" customHeight="1">
      <c r="A20" s="11">
        <v>18.0</v>
      </c>
      <c r="B20" s="19" t="s">
        <v>57</v>
      </c>
      <c r="C20" s="19" t="s">
        <v>40</v>
      </c>
      <c r="D20" s="19" t="s">
        <v>41</v>
      </c>
      <c r="E20" s="19" t="s">
        <v>58</v>
      </c>
      <c r="F20" s="17">
        <v>2013.0</v>
      </c>
      <c r="G20" s="17">
        <v>8.2</v>
      </c>
      <c r="H20" s="16">
        <v>1.5579999999999998</v>
      </c>
      <c r="I20" s="16">
        <v>14378.454</v>
      </c>
      <c r="J20" s="16">
        <v>65308.49</v>
      </c>
      <c r="K20" s="16">
        <v>134.726</v>
      </c>
      <c r="L20" s="16">
        <v>1422.618</v>
      </c>
      <c r="M20" s="16">
        <v>7.297999999999999</v>
      </c>
      <c r="N20" s="17">
        <v>11.0</v>
      </c>
      <c r="O20" s="17">
        <v>9.0</v>
      </c>
      <c r="P20" s="17">
        <v>6.0</v>
      </c>
      <c r="Q20" s="17" t="str">
        <f t="shared" si="1"/>
        <v>0.6666666667</v>
      </c>
      <c r="R20" s="17" t="str">
        <f t="shared" si="2"/>
        <v>4.684210526</v>
      </c>
      <c r="S20" s="17" t="str">
        <f t="shared" si="8"/>
        <v>0.8181818182</v>
      </c>
      <c r="T20" s="17" t="str">
        <f t="shared" si="28"/>
        <v>Partial discharge,Low Temprature thermal fault,</v>
      </c>
      <c r="U20" s="17" t="str">
        <f t="shared" si="24"/>
        <v>Thermal Fault &lt;700c, thermal fault &gt;700c </v>
      </c>
      <c r="V20" s="17" t="str">
        <f t="shared" si="29"/>
        <v>Partial discharge, Normal </v>
      </c>
      <c r="W20" s="17" t="str">
        <f t="shared" si="3"/>
        <v>0.6666666667</v>
      </c>
      <c r="X20" s="17" t="str">
        <f t="shared" si="4"/>
        <v>4.684210526</v>
      </c>
      <c r="Y20" s="17" t="str">
        <f t="shared" si="9"/>
        <v>0.8181818182</v>
      </c>
      <c r="Z20" s="17" t="s">
        <v>34</v>
      </c>
      <c r="AA20" s="17" t="str">
        <f t="shared" si="25"/>
        <v>Thermal  Fault &gt;300c and&lt;700 and &gt;700 c</v>
      </c>
      <c r="AB20" s="17" t="s">
        <v>53</v>
      </c>
      <c r="AC20" s="17" t="str">
        <f t="shared" si="5"/>
        <v>4.684210526</v>
      </c>
      <c r="AD20" s="18" t="str">
        <f t="shared" si="10"/>
        <v>0.6666666667</v>
      </c>
      <c r="AE20" s="17" t="str">
        <f t="shared" si="6"/>
        <v>0.8221430529</v>
      </c>
      <c r="AF20" s="17" t="str">
        <f t="shared" si="11"/>
        <v>1.833333333</v>
      </c>
      <c r="AG20" s="17" t="str">
        <f t="shared" si="27"/>
        <v>Thermal Decomposition, </v>
      </c>
      <c r="AH20" s="17" t="str">
        <f t="shared" si="12"/>
        <v>Thermal Decomposition, </v>
      </c>
      <c r="AI20" s="17" t="str">
        <f t="shared" si="16"/>
        <v>Arching</v>
      </c>
      <c r="AJ20" s="17" t="str">
        <f t="shared" si="7"/>
        <v>Thermal Decomposition,corona </v>
      </c>
    </row>
    <row r="21" ht="12.75" customHeight="1">
      <c r="A21" s="11">
        <v>19.0</v>
      </c>
      <c r="B21" s="19">
        <v>103757.0</v>
      </c>
      <c r="C21" s="19" t="s">
        <v>40</v>
      </c>
      <c r="D21" s="19" t="s">
        <v>41</v>
      </c>
      <c r="E21" s="19" t="s">
        <v>52</v>
      </c>
      <c r="F21" s="17">
        <v>2019.0</v>
      </c>
      <c r="G21" s="17">
        <v>8.2</v>
      </c>
      <c r="H21" s="16">
        <v>8.035999999999998</v>
      </c>
      <c r="I21" s="16">
        <v>14956.553999999996</v>
      </c>
      <c r="J21" s="16">
        <v>64368.77</v>
      </c>
      <c r="K21" s="16">
        <v>168.59199999999998</v>
      </c>
      <c r="L21" s="16">
        <v>1772.1019999999996</v>
      </c>
      <c r="M21" s="16">
        <v>4.1819999999999995</v>
      </c>
      <c r="N21" s="16">
        <v>15.0</v>
      </c>
      <c r="O21" s="17">
        <v>8.0</v>
      </c>
      <c r="P21" s="17">
        <v>8.0</v>
      </c>
      <c r="Q21" s="17" t="str">
        <f t="shared" si="1"/>
        <v>1</v>
      </c>
      <c r="R21" s="17" t="str">
        <f t="shared" si="2"/>
        <v>0.5204081633</v>
      </c>
      <c r="S21" s="17" t="str">
        <f t="shared" si="8"/>
        <v>0.5333333333</v>
      </c>
      <c r="T21" s="17" t="s">
        <v>30</v>
      </c>
      <c r="U21" s="17" t="s">
        <v>31</v>
      </c>
      <c r="V21" s="17" t="str">
        <f t="shared" si="29"/>
        <v>Partial discharge, Normal </v>
      </c>
      <c r="W21" s="17" t="str">
        <f t="shared" si="3"/>
        <v>1</v>
      </c>
      <c r="X21" s="17" t="str">
        <f t="shared" si="4"/>
        <v>0.5204081633</v>
      </c>
      <c r="Y21" s="17" t="str">
        <f t="shared" si="9"/>
        <v>0.5333333333</v>
      </c>
      <c r="Z21" s="17" t="s">
        <v>34</v>
      </c>
      <c r="AA21" s="17" t="s">
        <v>34</v>
      </c>
      <c r="AB21" s="17" t="s">
        <v>53</v>
      </c>
      <c r="AC21" s="17" t="str">
        <f t="shared" si="5"/>
        <v>0.5204081633</v>
      </c>
      <c r="AD21" s="18" t="str">
        <f t="shared" si="10"/>
        <v>1</v>
      </c>
      <c r="AE21" s="17" t="str">
        <f t="shared" si="6"/>
        <v>1.912960306</v>
      </c>
      <c r="AF21" s="17" t="str">
        <f t="shared" si="11"/>
        <v>1.875</v>
      </c>
      <c r="AG21" s="17" t="s">
        <v>30</v>
      </c>
      <c r="AH21" s="17" t="str">
        <f t="shared" si="12"/>
        <v>Arching</v>
      </c>
      <c r="AI21" s="17" t="str">
        <f t="shared" si="16"/>
        <v>Arching</v>
      </c>
      <c r="AJ21" s="17" t="str">
        <f t="shared" si="7"/>
        <v>Thermal Decomposition,corona </v>
      </c>
    </row>
    <row r="22" ht="12.75" customHeight="1">
      <c r="A22" s="11">
        <v>20.0</v>
      </c>
      <c r="B22" s="19">
        <v>102146.0</v>
      </c>
      <c r="C22" s="19" t="s">
        <v>40</v>
      </c>
      <c r="D22" s="19" t="s">
        <v>41</v>
      </c>
      <c r="E22" s="19" t="s">
        <v>52</v>
      </c>
      <c r="F22" s="17">
        <v>2017.0</v>
      </c>
      <c r="G22" s="17">
        <v>8.5</v>
      </c>
      <c r="H22" s="16">
        <v>6.63</v>
      </c>
      <c r="I22" s="16">
        <v>15460.735</v>
      </c>
      <c r="J22" s="16">
        <v>65784.21999999999</v>
      </c>
      <c r="K22" s="16">
        <v>249.305</v>
      </c>
      <c r="L22" s="16">
        <v>2536.06</v>
      </c>
      <c r="M22" s="16">
        <v>7.2250000000000005</v>
      </c>
      <c r="N22" s="17">
        <v>9.0</v>
      </c>
      <c r="O22" s="17">
        <v>9.0</v>
      </c>
      <c r="P22" s="17">
        <v>3.0</v>
      </c>
      <c r="Q22" s="17" t="str">
        <f t="shared" si="1"/>
        <v>0.3333333333</v>
      </c>
      <c r="R22" s="17" t="str">
        <f t="shared" si="2"/>
        <v>1.08974359</v>
      </c>
      <c r="S22" s="17" t="str">
        <f t="shared" si="8"/>
        <v>1</v>
      </c>
      <c r="T22" s="17" t="str">
        <f>IF(Q22&lt;1,"Partial discharge,Low Temprature thermal fault,")</f>
        <v>Partial discharge,Low Temprature thermal fault,</v>
      </c>
      <c r="U22" s="17" t="str">
        <f t="shared" ref="U22:U23" si="30">IF(R22&gt;1,"Thermal Fault &lt;700c, thermal fault &gt;700c ")</f>
        <v>Thermal Fault &lt;700c, thermal fault &gt;700c </v>
      </c>
      <c r="V22" s="17" t="s">
        <v>37</v>
      </c>
      <c r="W22" s="17" t="str">
        <f t="shared" si="3"/>
        <v>0.3333333333</v>
      </c>
      <c r="X22" s="17" t="str">
        <f t="shared" si="4"/>
        <v>1.08974359</v>
      </c>
      <c r="Y22" s="17" t="str">
        <f t="shared" si="9"/>
        <v>1</v>
      </c>
      <c r="Z22" s="17" t="s">
        <v>34</v>
      </c>
      <c r="AA22" s="17" t="str">
        <f t="shared" ref="AA22:AA26" si="31">IF(X22&lt;0.1,"Partial Discharges, ",IF(X22&gt;1,"Thermal  Fault &gt;300c and&lt;700 and &gt;700 c"))</f>
        <v>Thermal  Fault &gt;300c and&lt;700 and &gt;700 c</v>
      </c>
      <c r="AB22" s="17" t="s">
        <v>53</v>
      </c>
      <c r="AC22" s="17" t="str">
        <f t="shared" si="5"/>
        <v>1.08974359</v>
      </c>
      <c r="AD22" s="18" t="str">
        <f t="shared" si="10"/>
        <v>0.3333333333</v>
      </c>
      <c r="AE22" s="17" t="str">
        <f t="shared" si="6"/>
        <v>0.4152249135</v>
      </c>
      <c r="AF22" s="17" t="str">
        <f t="shared" si="11"/>
        <v>3</v>
      </c>
      <c r="AG22" s="17" t="str">
        <f t="shared" ref="AG22:AG26" si="32">IF(AC22&gt;1,"Thermal Decomposition, ",IF(AC22&lt;0.1,"Corona,Arching"))</f>
        <v>Thermal Decomposition, </v>
      </c>
      <c r="AH22" s="17" t="str">
        <f t="shared" si="12"/>
        <v>Thermal Decomposition, </v>
      </c>
      <c r="AI22" s="17" t="str">
        <f t="shared" si="16"/>
        <v>Arching</v>
      </c>
      <c r="AJ22" s="17" t="str">
        <f t="shared" si="7"/>
        <v>Thermal Decomposition,corona </v>
      </c>
    </row>
    <row r="23" ht="12.75" customHeight="1">
      <c r="A23" s="11">
        <v>21.0</v>
      </c>
      <c r="B23" s="17">
        <v>96591.0</v>
      </c>
      <c r="C23" s="17" t="s">
        <v>40</v>
      </c>
      <c r="D23" s="17" t="s">
        <v>41</v>
      </c>
      <c r="E23" s="19" t="s">
        <v>52</v>
      </c>
      <c r="F23" s="17">
        <v>2015.0</v>
      </c>
      <c r="G23" s="17">
        <v>7.8</v>
      </c>
      <c r="H23" s="16">
        <v>9.594</v>
      </c>
      <c r="I23" s="16">
        <v>14803.152</v>
      </c>
      <c r="J23" s="16">
        <v>59331.479999999996</v>
      </c>
      <c r="K23" s="16">
        <v>290.47200000000004</v>
      </c>
      <c r="L23" s="16">
        <v>2714.79</v>
      </c>
      <c r="M23" s="16">
        <v>17.784</v>
      </c>
      <c r="N23" s="16">
        <v>8.0</v>
      </c>
      <c r="O23" s="16">
        <v>7.722000000000001</v>
      </c>
      <c r="P23" s="17">
        <v>9.0</v>
      </c>
      <c r="Q23" s="17" t="str">
        <f t="shared" si="1"/>
        <v>1.165501166</v>
      </c>
      <c r="R23" s="17" t="str">
        <f t="shared" si="2"/>
        <v>1.853658537</v>
      </c>
      <c r="S23" s="17" t="str">
        <f t="shared" si="8"/>
        <v>0.96525</v>
      </c>
      <c r="T23" s="17" t="s">
        <v>30</v>
      </c>
      <c r="U23" s="17" t="str">
        <f t="shared" si="30"/>
        <v>Thermal Fault &lt;700c, thermal fault &gt;700c </v>
      </c>
      <c r="V23" s="17" t="str">
        <f>IF(S23&lt;1,"Partial discharge, Normal ",IF(S23&gt;3,"Arching,Thermal  Fault &gt; 700 c"))</f>
        <v>Partial discharge, Normal </v>
      </c>
      <c r="W23" s="17" t="str">
        <f t="shared" si="3"/>
        <v>1.165501166</v>
      </c>
      <c r="X23" s="17" t="str">
        <f t="shared" ref="X23:X512" si="33">IFERROR(M23/H23," ")</f>
        <v>1.853658537</v>
      </c>
      <c r="Y23" s="17" t="str">
        <f t="shared" si="9"/>
        <v>0.96525</v>
      </c>
      <c r="Z23" s="17" t="str">
        <f t="shared" ref="Z23:Z33" si="34">IF(W23&gt;1,"Discharge of Low Energy,  ",IF(W23&lt;0.1,"Thermal  Fault&gt; 300c and&lt;700 c"))</f>
        <v>Discharge of Low Energy,  </v>
      </c>
      <c r="AA23" s="17" t="str">
        <f t="shared" si="31"/>
        <v>Thermal  Fault &gt;300c and&lt;700 and &gt;700 c</v>
      </c>
      <c r="AB23" s="17" t="s">
        <v>53</v>
      </c>
      <c r="AC23" s="17" t="str">
        <f t="shared" si="5"/>
        <v>1.853658537</v>
      </c>
      <c r="AD23" s="18" t="str">
        <f t="shared" si="10"/>
        <v>1.165501166</v>
      </c>
      <c r="AE23" s="17" t="str">
        <f t="shared" si="6"/>
        <v>0.5060728745</v>
      </c>
      <c r="AF23" s="17" t="str">
        <f t="shared" si="11"/>
        <v>0.8888888889</v>
      </c>
      <c r="AG23" s="17" t="str">
        <f t="shared" si="32"/>
        <v>Thermal Decomposition, </v>
      </c>
      <c r="AH23" s="17" t="str">
        <f t="shared" si="12"/>
        <v>Arching</v>
      </c>
      <c r="AI23" s="17" t="str">
        <f t="shared" si="16"/>
        <v>Arching</v>
      </c>
      <c r="AJ23" s="17" t="str">
        <f t="shared" si="7"/>
        <v>Thermal Decomposition,corona </v>
      </c>
    </row>
    <row r="24" ht="12.75" customHeight="1">
      <c r="A24" s="11">
        <v>22.0</v>
      </c>
      <c r="B24" s="17">
        <v>109394.0</v>
      </c>
      <c r="C24" s="17" t="s">
        <v>40</v>
      </c>
      <c r="D24" s="17" t="s">
        <v>41</v>
      </c>
      <c r="E24" s="19" t="s">
        <v>52</v>
      </c>
      <c r="F24" s="17">
        <v>2020.0</v>
      </c>
      <c r="G24" s="17">
        <v>8.1</v>
      </c>
      <c r="H24" s="16">
        <v>2.106</v>
      </c>
      <c r="I24" s="16">
        <v>14994.639000000001</v>
      </c>
      <c r="J24" s="16">
        <v>64523.304</v>
      </c>
      <c r="K24" s="16">
        <v>94.60799999999999</v>
      </c>
      <c r="L24" s="16">
        <v>898.047</v>
      </c>
      <c r="M24" s="17">
        <v>6.0</v>
      </c>
      <c r="N24" s="17">
        <v>7.0</v>
      </c>
      <c r="O24" s="17">
        <v>8.0</v>
      </c>
      <c r="P24" s="16">
        <v>10.0</v>
      </c>
      <c r="Q24" s="17" t="str">
        <f t="shared" si="1"/>
        <v>1.25</v>
      </c>
      <c r="R24" s="17" t="str">
        <f t="shared" si="2"/>
        <v>2.849002849</v>
      </c>
      <c r="S24" s="17" t="str">
        <f t="shared" si="8"/>
        <v>1.142857143</v>
      </c>
      <c r="T24" s="17" t="s">
        <v>30</v>
      </c>
      <c r="U24" s="17" t="str">
        <f>IF(R24&lt;0.1, "Partial discharge", "Low temperature thermal ")</f>
        <v>Low temperature thermal </v>
      </c>
      <c r="V24" s="17" t="s">
        <v>37</v>
      </c>
      <c r="W24" s="17" t="str">
        <f t="shared" si="3"/>
        <v>1.25</v>
      </c>
      <c r="X24" s="17" t="str">
        <f t="shared" si="33"/>
        <v>2.849002849</v>
      </c>
      <c r="Y24" s="17" t="str">
        <f t="shared" si="9"/>
        <v>1.142857143</v>
      </c>
      <c r="Z24" s="17" t="str">
        <f t="shared" si="34"/>
        <v>Discharge of Low Energy,  </v>
      </c>
      <c r="AA24" s="17" t="str">
        <f t="shared" si="31"/>
        <v>Thermal  Fault &gt;300c and&lt;700 and &gt;700 c</v>
      </c>
      <c r="AB24" s="17" t="str">
        <f>IF(Y24&lt;0.2,"Partial Discharges, ",IF(Y24&gt;1,"Thermal  Fault  &gt;700 c"))</f>
        <v>Thermal  Fault  &gt;700 c</v>
      </c>
      <c r="AC24" s="17" t="str">
        <f t="shared" si="5"/>
        <v>2.849002849</v>
      </c>
      <c r="AD24" s="18" t="str">
        <f t="shared" si="10"/>
        <v>1.25</v>
      </c>
      <c r="AE24" s="17" t="str">
        <f t="shared" si="6"/>
        <v>1.666666667</v>
      </c>
      <c r="AF24" s="17" t="str">
        <f t="shared" si="11"/>
        <v>0.7</v>
      </c>
      <c r="AG24" s="17" t="str">
        <f t="shared" si="32"/>
        <v>Thermal Decomposition, </v>
      </c>
      <c r="AH24" s="17" t="str">
        <f t="shared" si="12"/>
        <v>Arching</v>
      </c>
      <c r="AI24" s="17" t="str">
        <f t="shared" si="16"/>
        <v>Arching</v>
      </c>
      <c r="AJ24" s="17" t="str">
        <f t="shared" si="7"/>
        <v>Thermal Decomposition,corona </v>
      </c>
    </row>
    <row r="25" ht="12.75" customHeight="1">
      <c r="A25" s="11">
        <v>23.0</v>
      </c>
      <c r="B25" s="17">
        <v>110120.0</v>
      </c>
      <c r="C25" s="17" t="s">
        <v>40</v>
      </c>
      <c r="D25" s="17" t="s">
        <v>41</v>
      </c>
      <c r="E25" s="19" t="s">
        <v>52</v>
      </c>
      <c r="F25" s="17">
        <v>2020.0</v>
      </c>
      <c r="G25" s="17">
        <v>8.4</v>
      </c>
      <c r="H25" s="16">
        <v>3.0</v>
      </c>
      <c r="I25" s="16">
        <v>15372.084</v>
      </c>
      <c r="J25" s="16">
        <v>67096.092</v>
      </c>
      <c r="K25" s="16">
        <v>49.392</v>
      </c>
      <c r="L25" s="16">
        <v>558.768</v>
      </c>
      <c r="M25" s="16">
        <v>7.0</v>
      </c>
      <c r="N25" s="16">
        <v>6.0</v>
      </c>
      <c r="O25" s="16">
        <v>6.0</v>
      </c>
      <c r="P25" s="16">
        <v>34.0</v>
      </c>
      <c r="Q25" s="17" t="str">
        <f t="shared" si="1"/>
        <v>5.666666667</v>
      </c>
      <c r="R25" s="17" t="str">
        <f t="shared" si="2"/>
        <v>2.333333333</v>
      </c>
      <c r="S25" s="17" t="str">
        <f t="shared" si="8"/>
        <v>1</v>
      </c>
      <c r="T25" s="17" t="s">
        <v>30</v>
      </c>
      <c r="U25" s="17" t="str">
        <f>IF(R25&gt;1,"Thermal Fault &lt;700c, thermal fault &gt;700c ")</f>
        <v>Thermal Fault &lt;700c, thermal fault &gt;700c </v>
      </c>
      <c r="V25" s="17" t="s">
        <v>37</v>
      </c>
      <c r="W25" s="17" t="str">
        <f t="shared" si="3"/>
        <v>5.666666667</v>
      </c>
      <c r="X25" s="17" t="str">
        <f t="shared" si="33"/>
        <v>2.333333333</v>
      </c>
      <c r="Y25" s="17" t="str">
        <f t="shared" si="9"/>
        <v>1</v>
      </c>
      <c r="Z25" s="17" t="str">
        <f t="shared" si="34"/>
        <v>Discharge of Low Energy,  </v>
      </c>
      <c r="AA25" s="17" t="str">
        <f t="shared" si="31"/>
        <v>Thermal  Fault &gt;300c and&lt;700 and &gt;700 c</v>
      </c>
      <c r="AB25" s="17" t="s">
        <v>59</v>
      </c>
      <c r="AC25" s="17" t="str">
        <f t="shared" si="5"/>
        <v>2.333333333</v>
      </c>
      <c r="AD25" s="18" t="str">
        <f t="shared" si="10"/>
        <v>5.666666667</v>
      </c>
      <c r="AE25" s="17" t="str">
        <f t="shared" si="6"/>
        <v>4.857142857</v>
      </c>
      <c r="AF25" s="17" t="str">
        <f t="shared" si="11"/>
        <v>0.1764705882</v>
      </c>
      <c r="AG25" s="17" t="str">
        <f t="shared" si="32"/>
        <v>Thermal Decomposition, </v>
      </c>
      <c r="AH25" s="17" t="str">
        <f t="shared" si="12"/>
        <v>Arching</v>
      </c>
      <c r="AI25" s="17" t="str">
        <f t="shared" si="16"/>
        <v>Arching</v>
      </c>
      <c r="AJ25" s="17" t="str">
        <f t="shared" si="7"/>
        <v>Arching</v>
      </c>
    </row>
    <row r="26" ht="12.75" customHeight="1">
      <c r="A26" s="11">
        <v>24.0</v>
      </c>
      <c r="B26" s="19">
        <v>109392.0</v>
      </c>
      <c r="C26" s="17" t="s">
        <v>40</v>
      </c>
      <c r="D26" s="17" t="s">
        <v>41</v>
      </c>
      <c r="E26" s="19" t="s">
        <v>52</v>
      </c>
      <c r="F26" s="17">
        <v>2020.0</v>
      </c>
      <c r="G26" s="17">
        <v>8.4</v>
      </c>
      <c r="H26" s="16">
        <v>3.948</v>
      </c>
      <c r="I26" s="16">
        <v>15735.972000000002</v>
      </c>
      <c r="J26" s="16">
        <v>66306.15600000002</v>
      </c>
      <c r="K26" s="16">
        <v>72.66</v>
      </c>
      <c r="L26" s="16">
        <v>751.884</v>
      </c>
      <c r="M26" s="17">
        <v>9.0</v>
      </c>
      <c r="N26" s="17">
        <v>11.0</v>
      </c>
      <c r="O26" s="17">
        <v>8.0</v>
      </c>
      <c r="P26" s="17">
        <v>17.0</v>
      </c>
      <c r="Q26" s="17" t="str">
        <f t="shared" si="1"/>
        <v>2.125</v>
      </c>
      <c r="R26" s="17" t="str">
        <f t="shared" si="2"/>
        <v>2.279635258</v>
      </c>
      <c r="S26" s="17" t="str">
        <f t="shared" si="8"/>
        <v>0.7272727273</v>
      </c>
      <c r="T26" s="17" t="s">
        <v>30</v>
      </c>
      <c r="U26" s="17" t="str">
        <f>IF(R26&lt;0.1, "Partial discharge", "Low temperature thermal ")</f>
        <v>Low temperature thermal </v>
      </c>
      <c r="V26" s="17" t="str">
        <f t="shared" ref="V26:V35" si="35">IF(S26&lt;1,"Partial discharge, Normal ",IF(S26&gt;3,"Arching,Thermal  Fault &gt; 700 c"))</f>
        <v>Partial discharge, Normal </v>
      </c>
      <c r="W26" s="17" t="str">
        <f t="shared" si="3"/>
        <v>2.125</v>
      </c>
      <c r="X26" s="17" t="str">
        <f t="shared" si="33"/>
        <v>2.279635258</v>
      </c>
      <c r="Y26" s="17" t="str">
        <f t="shared" si="9"/>
        <v>0.7272727273</v>
      </c>
      <c r="Z26" s="17" t="str">
        <f t="shared" si="34"/>
        <v>Discharge of Low Energy,  </v>
      </c>
      <c r="AA26" s="17" t="str">
        <f t="shared" si="31"/>
        <v>Thermal  Fault &gt;300c and&lt;700 and &gt;700 c</v>
      </c>
      <c r="AB26" s="17" t="s">
        <v>59</v>
      </c>
      <c r="AC26" s="17" t="str">
        <f t="shared" si="5"/>
        <v>2.279635258</v>
      </c>
      <c r="AD26" s="18" t="str">
        <f t="shared" si="10"/>
        <v>2.125</v>
      </c>
      <c r="AE26" s="17" t="str">
        <f t="shared" si="6"/>
        <v>1.888888889</v>
      </c>
      <c r="AF26" s="17" t="str">
        <f t="shared" si="11"/>
        <v>0.6470588235</v>
      </c>
      <c r="AG26" s="17" t="str">
        <f t="shared" si="32"/>
        <v>Thermal Decomposition, </v>
      </c>
      <c r="AH26" s="17" t="str">
        <f t="shared" si="12"/>
        <v>Arching</v>
      </c>
      <c r="AI26" s="17" t="str">
        <f t="shared" si="16"/>
        <v>Arching</v>
      </c>
      <c r="AJ26" s="17" t="str">
        <f t="shared" si="7"/>
        <v>Thermal Decomposition,corona </v>
      </c>
    </row>
    <row r="27" ht="12.75" customHeight="1">
      <c r="A27" s="11">
        <v>25.0</v>
      </c>
      <c r="B27" s="17">
        <v>109395.0</v>
      </c>
      <c r="C27" s="17" t="s">
        <v>40</v>
      </c>
      <c r="D27" s="17" t="s">
        <v>41</v>
      </c>
      <c r="E27" s="19" t="s">
        <v>52</v>
      </c>
      <c r="F27" s="17">
        <v>2020.0</v>
      </c>
      <c r="G27" s="17">
        <v>8.2</v>
      </c>
      <c r="H27" s="16">
        <v>6.0</v>
      </c>
      <c r="I27" s="16">
        <v>14969.181999999997</v>
      </c>
      <c r="J27" s="16">
        <v>65210.253999999986</v>
      </c>
      <c r="K27" s="16">
        <v>76.66999999999999</v>
      </c>
      <c r="L27" s="16">
        <v>836.8919999999999</v>
      </c>
      <c r="M27" s="17">
        <v>5.0</v>
      </c>
      <c r="N27" s="17">
        <v>12.0</v>
      </c>
      <c r="O27" s="17">
        <v>6.0</v>
      </c>
      <c r="P27" s="17">
        <v>17.0</v>
      </c>
      <c r="Q27" s="17" t="str">
        <f t="shared" si="1"/>
        <v>2.833333333</v>
      </c>
      <c r="R27" s="17" t="str">
        <f t="shared" si="2"/>
        <v>0.8333333333</v>
      </c>
      <c r="S27" s="17" t="str">
        <f t="shared" si="8"/>
        <v>0.5</v>
      </c>
      <c r="T27" s="17" t="s">
        <v>30</v>
      </c>
      <c r="U27" s="17" t="s">
        <v>30</v>
      </c>
      <c r="V27" s="17" t="str">
        <f t="shared" si="35"/>
        <v>Partial discharge, Normal </v>
      </c>
      <c r="W27" s="17" t="str">
        <f t="shared" si="3"/>
        <v>2.833333333</v>
      </c>
      <c r="X27" s="17" t="str">
        <f t="shared" si="33"/>
        <v>0.8333333333</v>
      </c>
      <c r="Y27" s="17" t="str">
        <f t="shared" si="9"/>
        <v>0.5</v>
      </c>
      <c r="Z27" s="17" t="str">
        <f t="shared" si="34"/>
        <v>Discharge of Low Energy,  </v>
      </c>
      <c r="AA27" s="17" t="s">
        <v>34</v>
      </c>
      <c r="AB27" s="17" t="s">
        <v>59</v>
      </c>
      <c r="AC27" s="17" t="str">
        <f t="shared" si="5"/>
        <v>0.8333333333</v>
      </c>
      <c r="AD27" s="18" t="str">
        <f t="shared" si="10"/>
        <v>2.833333333</v>
      </c>
      <c r="AE27" s="17" t="str">
        <f t="shared" si="6"/>
        <v>3.4</v>
      </c>
      <c r="AF27" s="17" t="str">
        <f t="shared" si="11"/>
        <v>0.7058823529</v>
      </c>
      <c r="AG27" s="17" t="s">
        <v>30</v>
      </c>
      <c r="AH27" s="17" t="str">
        <f t="shared" si="12"/>
        <v>Arching</v>
      </c>
      <c r="AI27" s="17" t="str">
        <f t="shared" si="16"/>
        <v>Arching</v>
      </c>
      <c r="AJ27" s="17" t="str">
        <f t="shared" si="7"/>
        <v>Thermal Decomposition,corona </v>
      </c>
    </row>
    <row r="28" ht="12.75" customHeight="1">
      <c r="A28" s="11">
        <v>26.0</v>
      </c>
      <c r="B28" s="17">
        <v>107358.0</v>
      </c>
      <c r="C28" s="17" t="s">
        <v>40</v>
      </c>
      <c r="D28" s="17" t="s">
        <v>41</v>
      </c>
      <c r="E28" s="19" t="s">
        <v>52</v>
      </c>
      <c r="F28" s="17">
        <v>2019.0</v>
      </c>
      <c r="G28" s="17">
        <v>8.0</v>
      </c>
      <c r="H28" s="16">
        <v>7.0</v>
      </c>
      <c r="I28" s="16">
        <v>14494.720000000001</v>
      </c>
      <c r="J28" s="16">
        <v>62801.68</v>
      </c>
      <c r="K28" s="16">
        <v>158.07999999999998</v>
      </c>
      <c r="L28" s="16">
        <v>1702.24</v>
      </c>
      <c r="M28" s="17">
        <v>3.0</v>
      </c>
      <c r="N28" s="17">
        <v>9.0</v>
      </c>
      <c r="O28" s="17">
        <v>8.0</v>
      </c>
      <c r="P28" s="17">
        <v>34.0</v>
      </c>
      <c r="Q28" s="17" t="str">
        <f t="shared" si="1"/>
        <v>4.25</v>
      </c>
      <c r="R28" s="17" t="str">
        <f t="shared" si="2"/>
        <v>0.4285714286</v>
      </c>
      <c r="S28" s="17" t="str">
        <f t="shared" si="8"/>
        <v>0.8888888889</v>
      </c>
      <c r="T28" s="17" t="s">
        <v>30</v>
      </c>
      <c r="U28" s="17" t="s">
        <v>30</v>
      </c>
      <c r="V28" s="17" t="str">
        <f t="shared" si="35"/>
        <v>Partial discharge, Normal </v>
      </c>
      <c r="W28" s="17" t="str">
        <f t="shared" si="3"/>
        <v>4.25</v>
      </c>
      <c r="X28" s="17" t="str">
        <f t="shared" si="33"/>
        <v>0.4285714286</v>
      </c>
      <c r="Y28" s="17" t="str">
        <f t="shared" si="9"/>
        <v>0.8888888889</v>
      </c>
      <c r="Z28" s="17" t="str">
        <f t="shared" si="34"/>
        <v>Discharge of Low Energy,  </v>
      </c>
      <c r="AA28" s="17" t="s">
        <v>34</v>
      </c>
      <c r="AB28" s="17" t="s">
        <v>59</v>
      </c>
      <c r="AC28" s="17" t="str">
        <f t="shared" si="5"/>
        <v>0.4285714286</v>
      </c>
      <c r="AD28" s="18" t="str">
        <f t="shared" si="10"/>
        <v>4.25</v>
      </c>
      <c r="AE28" s="17" t="str">
        <f t="shared" si="6"/>
        <v>11.33333333</v>
      </c>
      <c r="AF28" s="17" t="str">
        <f t="shared" si="11"/>
        <v>0.2647058824</v>
      </c>
      <c r="AG28" s="17" t="s">
        <v>30</v>
      </c>
      <c r="AH28" s="17" t="str">
        <f t="shared" si="12"/>
        <v>Arching</v>
      </c>
      <c r="AI28" s="17" t="str">
        <f t="shared" si="16"/>
        <v>Arching</v>
      </c>
      <c r="AJ28" s="17" t="str">
        <f t="shared" si="7"/>
        <v>Arching</v>
      </c>
    </row>
    <row r="29" ht="12.75" customHeight="1">
      <c r="A29" s="11">
        <v>27.0</v>
      </c>
      <c r="B29" s="17">
        <v>109393.0</v>
      </c>
      <c r="C29" s="17" t="s">
        <v>40</v>
      </c>
      <c r="D29" s="17" t="s">
        <v>41</v>
      </c>
      <c r="E29" s="19" t="s">
        <v>52</v>
      </c>
      <c r="F29" s="17">
        <v>2020.0</v>
      </c>
      <c r="G29" s="17">
        <v>8.3</v>
      </c>
      <c r="H29" s="16">
        <v>9.0</v>
      </c>
      <c r="I29" s="16">
        <v>15162.108000000004</v>
      </c>
      <c r="J29" s="16">
        <v>66073.64400000001</v>
      </c>
      <c r="K29" s="16">
        <v>79.763</v>
      </c>
      <c r="L29" s="16">
        <v>842.0350000000001</v>
      </c>
      <c r="M29" s="17">
        <v>9.0</v>
      </c>
      <c r="N29" s="17">
        <v>11.0</v>
      </c>
      <c r="O29" s="17">
        <v>7.0</v>
      </c>
      <c r="P29" s="17">
        <v>9.0</v>
      </c>
      <c r="Q29" s="17" t="str">
        <f t="shared" si="1"/>
        <v>1.285714286</v>
      </c>
      <c r="R29" s="17" t="str">
        <f t="shared" si="2"/>
        <v>1</v>
      </c>
      <c r="S29" s="17" t="str">
        <f t="shared" si="8"/>
        <v>0.6363636364</v>
      </c>
      <c r="T29" s="17" t="s">
        <v>30</v>
      </c>
      <c r="U29" s="17" t="s">
        <v>30</v>
      </c>
      <c r="V29" s="17" t="str">
        <f t="shared" si="35"/>
        <v>Partial discharge, Normal </v>
      </c>
      <c r="W29" s="17" t="str">
        <f t="shared" si="3"/>
        <v>1.285714286</v>
      </c>
      <c r="X29" s="17" t="str">
        <f t="shared" si="33"/>
        <v>1</v>
      </c>
      <c r="Y29" s="17" t="str">
        <f t="shared" si="9"/>
        <v>0.6363636364</v>
      </c>
      <c r="Z29" s="17" t="str">
        <f t="shared" si="34"/>
        <v>Discharge of Low Energy,  </v>
      </c>
      <c r="AA29" s="17" t="s">
        <v>34</v>
      </c>
      <c r="AB29" s="17" t="s">
        <v>59</v>
      </c>
      <c r="AC29" s="17" t="str">
        <f t="shared" si="5"/>
        <v>1</v>
      </c>
      <c r="AD29" s="18" t="str">
        <f t="shared" si="10"/>
        <v>1.285714286</v>
      </c>
      <c r="AE29" s="17" t="str">
        <f t="shared" si="6"/>
        <v>1</v>
      </c>
      <c r="AF29" s="17" t="str">
        <f t="shared" si="11"/>
        <v>1.222222222</v>
      </c>
      <c r="AG29" s="17" t="s">
        <v>30</v>
      </c>
      <c r="AH29" s="17" t="str">
        <f t="shared" si="12"/>
        <v>Arching</v>
      </c>
      <c r="AI29" s="17" t="str">
        <f t="shared" si="16"/>
        <v>Arching</v>
      </c>
      <c r="AJ29" s="17" t="str">
        <f t="shared" si="7"/>
        <v>Thermal Decomposition,corona </v>
      </c>
    </row>
    <row r="30" ht="12.75" customHeight="1">
      <c r="A30" s="11">
        <v>28.0</v>
      </c>
      <c r="B30" s="17">
        <v>102145.0</v>
      </c>
      <c r="C30" s="17" t="s">
        <v>40</v>
      </c>
      <c r="D30" s="17" t="s">
        <v>41</v>
      </c>
      <c r="E30" s="19" t="s">
        <v>52</v>
      </c>
      <c r="F30" s="17">
        <v>2017.0</v>
      </c>
      <c r="G30" s="17">
        <v>8.5</v>
      </c>
      <c r="H30" s="16">
        <v>3.74</v>
      </c>
      <c r="I30" s="16">
        <v>15646.289999999999</v>
      </c>
      <c r="J30" s="16">
        <v>67067.635</v>
      </c>
      <c r="K30" s="16">
        <v>110.41499999999999</v>
      </c>
      <c r="L30" s="16">
        <v>933.6400000000001</v>
      </c>
      <c r="M30" s="16">
        <v>5.865</v>
      </c>
      <c r="N30" s="17">
        <v>14.0</v>
      </c>
      <c r="O30" s="17">
        <v>5.0</v>
      </c>
      <c r="P30" s="17">
        <v>12.0</v>
      </c>
      <c r="Q30" s="17" t="str">
        <f t="shared" si="1"/>
        <v>2.4</v>
      </c>
      <c r="R30" s="17" t="str">
        <f t="shared" si="2"/>
        <v>1.568181818</v>
      </c>
      <c r="S30" s="17" t="str">
        <f t="shared" si="8"/>
        <v>0.3571428571</v>
      </c>
      <c r="T30" s="17" t="s">
        <v>30</v>
      </c>
      <c r="U30" s="17" t="str">
        <f>IF(R30&gt;1,"Thermal Fault &lt;700c, thermal fault &gt;700c ")</f>
        <v>Thermal Fault &lt;700c, thermal fault &gt;700c </v>
      </c>
      <c r="V30" s="17" t="str">
        <f t="shared" si="35"/>
        <v>Partial discharge, Normal </v>
      </c>
      <c r="W30" s="17" t="str">
        <f t="shared" si="3"/>
        <v>2.4</v>
      </c>
      <c r="X30" s="17" t="str">
        <f t="shared" si="33"/>
        <v>1.568181818</v>
      </c>
      <c r="Y30" s="17" t="str">
        <f t="shared" si="9"/>
        <v>0.3571428571</v>
      </c>
      <c r="Z30" s="17" t="str">
        <f t="shared" si="34"/>
        <v>Discharge of Low Energy,  </v>
      </c>
      <c r="AA30" s="17" t="str">
        <f>IF(X30&lt;0.1,"Partial Discharges, ",IF(X30&gt;1,"Thermal  Fault &gt;300c and&lt;700 and &gt;700 c"))</f>
        <v>Thermal  Fault &gt;300c and&lt;700 and &gt;700 c</v>
      </c>
      <c r="AB30" s="17" t="s">
        <v>59</v>
      </c>
      <c r="AC30" s="17" t="str">
        <f t="shared" si="5"/>
        <v>1.568181818</v>
      </c>
      <c r="AD30" s="18" t="str">
        <f t="shared" si="10"/>
        <v>2.4</v>
      </c>
      <c r="AE30" s="17" t="str">
        <f t="shared" si="6"/>
        <v>2.046035806</v>
      </c>
      <c r="AF30" s="17" t="str">
        <f t="shared" si="11"/>
        <v>1.166666667</v>
      </c>
      <c r="AG30" s="17" t="str">
        <f>IF(AC30&gt;1,"Thermal Decomposition, ",IF(AC30&lt;0.1,"Corona,Arching"))</f>
        <v>Thermal Decomposition, </v>
      </c>
      <c r="AH30" s="17" t="str">
        <f t="shared" si="12"/>
        <v>Arching</v>
      </c>
      <c r="AI30" s="17" t="str">
        <f t="shared" si="16"/>
        <v>Arching</v>
      </c>
      <c r="AJ30" s="17" t="str">
        <f t="shared" si="7"/>
        <v>Thermal Decomposition,corona </v>
      </c>
    </row>
    <row r="31" ht="12.75" customHeight="1">
      <c r="A31" s="11">
        <v>29.0</v>
      </c>
      <c r="B31" s="17">
        <v>103754.0</v>
      </c>
      <c r="C31" s="17" t="s">
        <v>40</v>
      </c>
      <c r="D31" s="17" t="s">
        <v>41</v>
      </c>
      <c r="E31" s="19" t="s">
        <v>52</v>
      </c>
      <c r="F31" s="17">
        <v>2018.0</v>
      </c>
      <c r="G31" s="17">
        <v>8.3</v>
      </c>
      <c r="H31" s="16">
        <v>12.948</v>
      </c>
      <c r="I31" s="16">
        <v>15300.469000000001</v>
      </c>
      <c r="J31" s="16">
        <v>64967.75200000001</v>
      </c>
      <c r="K31" s="16">
        <v>161.60100000000003</v>
      </c>
      <c r="L31" s="16">
        <v>1625.8870000000002</v>
      </c>
      <c r="M31" s="16">
        <v>4.067</v>
      </c>
      <c r="N31" s="17">
        <v>11.0</v>
      </c>
      <c r="O31" s="17">
        <v>7.0</v>
      </c>
      <c r="P31" s="17">
        <v>45.0</v>
      </c>
      <c r="Q31" s="17" t="str">
        <f t="shared" si="1"/>
        <v>6.428571429</v>
      </c>
      <c r="R31" s="17" t="str">
        <f t="shared" si="2"/>
        <v>0.3141025641</v>
      </c>
      <c r="S31" s="17" t="str">
        <f t="shared" si="8"/>
        <v>0.6363636364</v>
      </c>
      <c r="T31" s="17" t="s">
        <v>30</v>
      </c>
      <c r="U31" s="17" t="s">
        <v>31</v>
      </c>
      <c r="V31" s="17" t="str">
        <f t="shared" si="35"/>
        <v>Partial discharge, Normal </v>
      </c>
      <c r="W31" s="17" t="str">
        <f t="shared" si="3"/>
        <v>6.428571429</v>
      </c>
      <c r="X31" s="17" t="str">
        <f t="shared" si="33"/>
        <v>0.3141025641</v>
      </c>
      <c r="Y31" s="17" t="str">
        <f t="shared" si="9"/>
        <v>0.6363636364</v>
      </c>
      <c r="Z31" s="17" t="str">
        <f t="shared" si="34"/>
        <v>Discharge of Low Energy,  </v>
      </c>
      <c r="AA31" s="17" t="s">
        <v>34</v>
      </c>
      <c r="AB31" s="17" t="s">
        <v>59</v>
      </c>
      <c r="AC31" s="17" t="str">
        <f t="shared" si="5"/>
        <v>0.3141025641</v>
      </c>
      <c r="AD31" s="18" t="str">
        <f t="shared" si="10"/>
        <v>6.428571429</v>
      </c>
      <c r="AE31" s="17" t="str">
        <f t="shared" si="6"/>
        <v>11.06466683</v>
      </c>
      <c r="AF31" s="17" t="str">
        <f t="shared" si="11"/>
        <v>0.2444444444</v>
      </c>
      <c r="AG31" s="17" t="s">
        <v>30</v>
      </c>
      <c r="AH31" s="17" t="str">
        <f t="shared" si="12"/>
        <v>Arching</v>
      </c>
      <c r="AI31" s="17" t="str">
        <f t="shared" si="16"/>
        <v>Arching</v>
      </c>
      <c r="AJ31" s="17" t="str">
        <f t="shared" si="7"/>
        <v>Arching</v>
      </c>
    </row>
    <row r="32" ht="12.75" customHeight="1">
      <c r="A32" s="11">
        <v>30.0</v>
      </c>
      <c r="B32" s="17">
        <v>103756.0</v>
      </c>
      <c r="C32" s="17" t="s">
        <v>40</v>
      </c>
      <c r="D32" s="17" t="s">
        <v>41</v>
      </c>
      <c r="E32" s="19" t="s">
        <v>52</v>
      </c>
      <c r="F32" s="17">
        <v>2019.0</v>
      </c>
      <c r="G32" s="17">
        <v>8.5</v>
      </c>
      <c r="H32" s="16">
        <v>16.830000000000002</v>
      </c>
      <c r="I32" s="16">
        <v>16032.614999999998</v>
      </c>
      <c r="J32" s="16">
        <v>66596.565</v>
      </c>
      <c r="K32" s="16">
        <v>155.975</v>
      </c>
      <c r="L32" s="16">
        <v>1646.1950000000002</v>
      </c>
      <c r="M32" s="17">
        <v>9.0</v>
      </c>
      <c r="N32" s="17">
        <v>14.0</v>
      </c>
      <c r="O32" s="17">
        <v>9.0</v>
      </c>
      <c r="P32" s="17">
        <v>37.0</v>
      </c>
      <c r="Q32" s="17" t="str">
        <f t="shared" si="1"/>
        <v>4.111111111</v>
      </c>
      <c r="R32" s="17" t="str">
        <f t="shared" si="2"/>
        <v>0.5347593583</v>
      </c>
      <c r="S32" s="17" t="str">
        <f t="shared" si="8"/>
        <v>0.6428571429</v>
      </c>
      <c r="T32" s="17" t="s">
        <v>30</v>
      </c>
      <c r="U32" s="17" t="s">
        <v>31</v>
      </c>
      <c r="V32" s="17" t="str">
        <f t="shared" si="35"/>
        <v>Partial discharge, Normal </v>
      </c>
      <c r="W32" s="17" t="str">
        <f t="shared" si="3"/>
        <v>4.111111111</v>
      </c>
      <c r="X32" s="17" t="str">
        <f t="shared" si="33"/>
        <v>0.5347593583</v>
      </c>
      <c r="Y32" s="17" t="str">
        <f t="shared" si="9"/>
        <v>0.6428571429</v>
      </c>
      <c r="Z32" s="17" t="str">
        <f t="shared" si="34"/>
        <v>Discharge of Low Energy,  </v>
      </c>
      <c r="AA32" s="17" t="s">
        <v>34</v>
      </c>
      <c r="AB32" s="17" t="s">
        <v>59</v>
      </c>
      <c r="AC32" s="17" t="str">
        <f t="shared" si="5"/>
        <v>0.5347593583</v>
      </c>
      <c r="AD32" s="18" t="str">
        <f t="shared" si="10"/>
        <v>4.111111111</v>
      </c>
      <c r="AE32" s="17" t="str">
        <f t="shared" si="6"/>
        <v>4.111111111</v>
      </c>
      <c r="AF32" s="17" t="str">
        <f t="shared" si="11"/>
        <v>0.3783783784</v>
      </c>
      <c r="AG32" s="17" t="s">
        <v>30</v>
      </c>
      <c r="AH32" s="17" t="str">
        <f t="shared" si="12"/>
        <v>Arching</v>
      </c>
      <c r="AI32" s="17" t="str">
        <f t="shared" si="16"/>
        <v>Arching</v>
      </c>
      <c r="AJ32" s="17" t="str">
        <f t="shared" si="7"/>
        <v>Arching</v>
      </c>
    </row>
    <row r="33" ht="12.75" customHeight="1">
      <c r="A33" s="11">
        <v>31.0</v>
      </c>
      <c r="B33" s="17">
        <v>102147.0</v>
      </c>
      <c r="C33" s="17" t="s">
        <v>40</v>
      </c>
      <c r="D33" s="17" t="s">
        <v>41</v>
      </c>
      <c r="E33" s="19" t="s">
        <v>52</v>
      </c>
      <c r="F33" s="17">
        <v>2017.0</v>
      </c>
      <c r="G33" s="17">
        <v>8.4</v>
      </c>
      <c r="H33" s="16">
        <v>8.316</v>
      </c>
      <c r="I33" s="16">
        <v>15461.796</v>
      </c>
      <c r="J33" s="16">
        <v>64806.083999999995</v>
      </c>
      <c r="K33" s="16">
        <v>249.564</v>
      </c>
      <c r="L33" s="16">
        <v>2456.5800000000004</v>
      </c>
      <c r="M33" s="16">
        <v>8.232000000000001</v>
      </c>
      <c r="N33" s="16">
        <v>6.468</v>
      </c>
      <c r="O33" s="17">
        <v>5.0</v>
      </c>
      <c r="P33" s="17">
        <v>38.0</v>
      </c>
      <c r="Q33" s="17" t="str">
        <f t="shared" si="1"/>
        <v>7.6</v>
      </c>
      <c r="R33" s="17" t="str">
        <f t="shared" si="2"/>
        <v>0.9898989899</v>
      </c>
      <c r="S33" s="17" t="str">
        <f t="shared" si="8"/>
        <v>0.7730364873</v>
      </c>
      <c r="T33" s="17" t="s">
        <v>30</v>
      </c>
      <c r="U33" s="17" t="s">
        <v>31</v>
      </c>
      <c r="V33" s="17" t="str">
        <f t="shared" si="35"/>
        <v>Partial discharge, Normal </v>
      </c>
      <c r="W33" s="17" t="str">
        <f t="shared" si="3"/>
        <v>7.6</v>
      </c>
      <c r="X33" s="17" t="str">
        <f t="shared" si="33"/>
        <v>0.9898989899</v>
      </c>
      <c r="Y33" s="17" t="str">
        <f t="shared" si="9"/>
        <v>0.7730364873</v>
      </c>
      <c r="Z33" s="17" t="str">
        <f t="shared" si="34"/>
        <v>Discharge of Low Energy,  </v>
      </c>
      <c r="AA33" s="17" t="s">
        <v>34</v>
      </c>
      <c r="AB33" s="17" t="s">
        <v>59</v>
      </c>
      <c r="AC33" s="17" t="str">
        <f t="shared" si="5"/>
        <v>0.9898989899</v>
      </c>
      <c r="AD33" s="18" t="str">
        <f t="shared" si="10"/>
        <v>7.6</v>
      </c>
      <c r="AE33" s="17" t="str">
        <f t="shared" si="6"/>
        <v>4.616132167</v>
      </c>
      <c r="AF33" s="17" t="str">
        <f t="shared" si="11"/>
        <v>0.1702105263</v>
      </c>
      <c r="AG33" s="17" t="s">
        <v>30</v>
      </c>
      <c r="AH33" s="17" t="str">
        <f t="shared" si="12"/>
        <v>Arching</v>
      </c>
      <c r="AI33" s="17" t="str">
        <f t="shared" si="16"/>
        <v>Arching</v>
      </c>
      <c r="AJ33" s="17" t="str">
        <f t="shared" si="7"/>
        <v>Arching</v>
      </c>
    </row>
    <row r="34" ht="12.75" customHeight="1">
      <c r="A34" s="11">
        <v>32.0</v>
      </c>
      <c r="B34" s="17" t="s">
        <v>60</v>
      </c>
      <c r="C34" s="17" t="s">
        <v>40</v>
      </c>
      <c r="D34" s="17" t="s">
        <v>41</v>
      </c>
      <c r="E34" s="19" t="s">
        <v>52</v>
      </c>
      <c r="F34" s="17">
        <v>2021.0</v>
      </c>
      <c r="G34" s="17">
        <v>8.4</v>
      </c>
      <c r="H34" s="16">
        <v>3.0</v>
      </c>
      <c r="I34" s="16">
        <v>15346.716</v>
      </c>
      <c r="J34" s="16">
        <v>66991.848</v>
      </c>
      <c r="K34" s="16">
        <v>48.468</v>
      </c>
      <c r="L34" s="16">
        <v>544.572</v>
      </c>
      <c r="M34" s="16">
        <v>6.0</v>
      </c>
      <c r="N34" s="16">
        <v>13.0</v>
      </c>
      <c r="O34" s="16">
        <v>9.0</v>
      </c>
      <c r="P34" s="16">
        <v>9.0</v>
      </c>
      <c r="Q34" s="17" t="str">
        <f t="shared" si="1"/>
        <v>1</v>
      </c>
      <c r="R34" s="17" t="str">
        <f t="shared" si="2"/>
        <v>2</v>
      </c>
      <c r="S34" s="17" t="str">
        <f t="shared" si="8"/>
        <v>0.6923076923</v>
      </c>
      <c r="T34" s="17" t="s">
        <v>30</v>
      </c>
      <c r="U34" s="17" t="str">
        <f t="shared" ref="U34:U36" si="36">IF(R34&gt;1,"Thermal Fault &lt;700c, thermal fault &gt;700c ")</f>
        <v>Thermal Fault &lt;700c, thermal fault &gt;700c </v>
      </c>
      <c r="V34" s="17" t="str">
        <f t="shared" si="35"/>
        <v>Partial discharge, Normal </v>
      </c>
      <c r="W34" s="17" t="str">
        <f t="shared" si="3"/>
        <v>1</v>
      </c>
      <c r="X34" s="17" t="str">
        <f t="shared" si="33"/>
        <v>2</v>
      </c>
      <c r="Y34" s="17" t="str">
        <f t="shared" si="9"/>
        <v>0.6923076923</v>
      </c>
      <c r="Z34" s="17" t="s">
        <v>34</v>
      </c>
      <c r="AA34" s="17" t="str">
        <f t="shared" ref="AA34:AA36" si="37">IF(X34&lt;0.1,"Partial Discharges, ",IF(X34&gt;1,"Thermal  Fault &gt;300c and&lt;700 and &gt;700 c"))</f>
        <v>Thermal  Fault &gt;300c and&lt;700 and &gt;700 c</v>
      </c>
      <c r="AB34" s="17" t="s">
        <v>59</v>
      </c>
      <c r="AC34" s="17" t="str">
        <f t="shared" si="5"/>
        <v>2</v>
      </c>
      <c r="AD34" s="18" t="str">
        <f t="shared" si="10"/>
        <v>1</v>
      </c>
      <c r="AE34" s="17" t="str">
        <f t="shared" si="6"/>
        <v>1.5</v>
      </c>
      <c r="AF34" s="17" t="str">
        <f t="shared" si="11"/>
        <v>1.444444444</v>
      </c>
      <c r="AG34" s="17" t="str">
        <f t="shared" ref="AG34:AG36" si="38">IF(AC34&gt;1,"Thermal Decomposition, ",IF(AC34&lt;0.1,"Corona,Arching"))</f>
        <v>Thermal Decomposition, </v>
      </c>
      <c r="AH34" s="17" t="str">
        <f t="shared" si="12"/>
        <v>Arching</v>
      </c>
      <c r="AI34" s="17" t="str">
        <f t="shared" si="16"/>
        <v>Arching</v>
      </c>
      <c r="AJ34" s="17" t="str">
        <f t="shared" si="7"/>
        <v>Thermal Decomposition,corona </v>
      </c>
    </row>
    <row r="35" ht="12.75" customHeight="1">
      <c r="A35" s="11">
        <v>33.0</v>
      </c>
      <c r="B35" s="17" t="s">
        <v>61</v>
      </c>
      <c r="C35" s="17" t="s">
        <v>40</v>
      </c>
      <c r="D35" s="17" t="s">
        <v>41</v>
      </c>
      <c r="E35" s="19" t="s">
        <v>52</v>
      </c>
      <c r="F35" s="17">
        <v>2015.0</v>
      </c>
      <c r="G35" s="17">
        <v>8.3</v>
      </c>
      <c r="H35" s="16">
        <v>4.814</v>
      </c>
      <c r="I35" s="16">
        <v>15187.173999999999</v>
      </c>
      <c r="J35" s="16">
        <v>62781.61500000001</v>
      </c>
      <c r="K35" s="16">
        <v>375.4920000000001</v>
      </c>
      <c r="L35" s="16">
        <v>3515.5480000000002</v>
      </c>
      <c r="M35" s="16">
        <v>10.126000000000001</v>
      </c>
      <c r="N35" s="16">
        <v>8.217</v>
      </c>
      <c r="O35" s="16">
        <v>5.0</v>
      </c>
      <c r="P35" s="16">
        <v>2.0</v>
      </c>
      <c r="Q35" s="17" t="str">
        <f t="shared" si="1"/>
        <v>0.4</v>
      </c>
      <c r="R35" s="17" t="str">
        <f t="shared" si="2"/>
        <v>2.103448276</v>
      </c>
      <c r="S35" s="17" t="str">
        <f t="shared" si="8"/>
        <v>0.6084945844</v>
      </c>
      <c r="T35" s="17" t="str">
        <f>IF(Q35&lt;1,"Partial discharge,Low Temprature thermal fault,")</f>
        <v>Partial discharge,Low Temprature thermal fault,</v>
      </c>
      <c r="U35" s="17" t="str">
        <f t="shared" si="36"/>
        <v>Thermal Fault &lt;700c, thermal fault &gt;700c </v>
      </c>
      <c r="V35" s="17" t="str">
        <f t="shared" si="35"/>
        <v>Partial discharge, Normal </v>
      </c>
      <c r="W35" s="17" t="str">
        <f t="shared" si="3"/>
        <v>0.4</v>
      </c>
      <c r="X35" s="17" t="str">
        <f t="shared" si="33"/>
        <v>2.103448276</v>
      </c>
      <c r="Y35" s="17" t="str">
        <f t="shared" si="9"/>
        <v>0.6084945844</v>
      </c>
      <c r="Z35" s="17" t="s">
        <v>34</v>
      </c>
      <c r="AA35" s="17" t="str">
        <f t="shared" si="37"/>
        <v>Thermal  Fault &gt;300c and&lt;700 and &gt;700 c</v>
      </c>
      <c r="AB35" s="17" t="s">
        <v>59</v>
      </c>
      <c r="AC35" s="17" t="str">
        <f t="shared" si="5"/>
        <v>2.103448276</v>
      </c>
      <c r="AD35" s="18" t="str">
        <f t="shared" si="10"/>
        <v>0.4</v>
      </c>
      <c r="AE35" s="17" t="str">
        <f t="shared" si="6"/>
        <v>0.1975113569</v>
      </c>
      <c r="AF35" s="17" t="str">
        <f t="shared" si="11"/>
        <v>4.1085</v>
      </c>
      <c r="AG35" s="17" t="str">
        <f t="shared" si="38"/>
        <v>Thermal Decomposition, </v>
      </c>
      <c r="AH35" s="17" t="str">
        <f t="shared" si="12"/>
        <v>Thermal Decomposition, </v>
      </c>
      <c r="AI35" s="17" t="str">
        <f t="shared" si="16"/>
        <v>Thermal Decomposition,corona </v>
      </c>
      <c r="AJ35" s="17" t="str">
        <f t="shared" si="7"/>
        <v>Thermal Decomposition,corona </v>
      </c>
    </row>
    <row r="36" ht="12.75" customHeight="1">
      <c r="A36" s="11">
        <v>34.0</v>
      </c>
      <c r="B36" s="17" t="s">
        <v>62</v>
      </c>
      <c r="C36" s="17" t="s">
        <v>40</v>
      </c>
      <c r="D36" s="17" t="s">
        <v>41</v>
      </c>
      <c r="E36" s="19" t="s">
        <v>52</v>
      </c>
      <c r="F36" s="17">
        <v>2021.0</v>
      </c>
      <c r="G36" s="17">
        <v>8.1</v>
      </c>
      <c r="H36" s="16">
        <v>7.0</v>
      </c>
      <c r="I36" s="16">
        <v>14919.632999999998</v>
      </c>
      <c r="J36" s="16">
        <v>64300.473</v>
      </c>
      <c r="K36" s="16">
        <v>53.784</v>
      </c>
      <c r="L36" s="16">
        <v>547.9649999999999</v>
      </c>
      <c r="M36" s="16">
        <v>9.0</v>
      </c>
      <c r="N36" s="16">
        <v>9.0</v>
      </c>
      <c r="O36" s="16">
        <v>9.0</v>
      </c>
      <c r="P36" s="16">
        <v>56.0</v>
      </c>
      <c r="Q36" s="17" t="str">
        <f t="shared" si="1"/>
        <v>6.222222222</v>
      </c>
      <c r="R36" s="17" t="str">
        <f t="shared" si="2"/>
        <v>1.285714286</v>
      </c>
      <c r="S36" s="17" t="str">
        <f t="shared" si="8"/>
        <v>1</v>
      </c>
      <c r="T36" s="17" t="s">
        <v>30</v>
      </c>
      <c r="U36" s="17" t="str">
        <f t="shared" si="36"/>
        <v>Thermal Fault &lt;700c, thermal fault &gt;700c </v>
      </c>
      <c r="V36" s="17" t="s">
        <v>37</v>
      </c>
      <c r="W36" s="17" t="str">
        <f t="shared" si="3"/>
        <v>6.222222222</v>
      </c>
      <c r="X36" s="17" t="str">
        <f t="shared" si="33"/>
        <v>1.285714286</v>
      </c>
      <c r="Y36" s="17" t="str">
        <f t="shared" si="9"/>
        <v>1</v>
      </c>
      <c r="Z36" s="17" t="str">
        <f t="shared" ref="Z36:Z39" si="39">IF(W36&gt;1,"Discharge of Low Energy,  ",IF(W36&lt;0.1,"Thermal  Fault&gt; 300c and&lt;700 c"))</f>
        <v>Discharge of Low Energy,  </v>
      </c>
      <c r="AA36" s="17" t="str">
        <f t="shared" si="37"/>
        <v>Thermal  Fault &gt;300c and&lt;700 and &gt;700 c</v>
      </c>
      <c r="AB36" s="17" t="s">
        <v>59</v>
      </c>
      <c r="AC36" s="17" t="str">
        <f t="shared" si="5"/>
        <v>1.285714286</v>
      </c>
      <c r="AD36" s="18" t="str">
        <f t="shared" si="10"/>
        <v>6.222222222</v>
      </c>
      <c r="AE36" s="17" t="str">
        <f t="shared" si="6"/>
        <v>6.222222222</v>
      </c>
      <c r="AF36" s="17" t="str">
        <f t="shared" si="11"/>
        <v>0.1607142857</v>
      </c>
      <c r="AG36" s="17" t="str">
        <f t="shared" si="38"/>
        <v>Thermal Decomposition, </v>
      </c>
      <c r="AH36" s="17" t="str">
        <f t="shared" si="12"/>
        <v>Arching</v>
      </c>
      <c r="AI36" s="17" t="str">
        <f t="shared" si="16"/>
        <v>Arching</v>
      </c>
      <c r="AJ36" s="17" t="str">
        <f t="shared" si="7"/>
        <v>Arching</v>
      </c>
    </row>
    <row r="37" ht="12.75" customHeight="1">
      <c r="A37" s="11">
        <v>35.0</v>
      </c>
      <c r="B37" s="17">
        <v>172827.0</v>
      </c>
      <c r="C37" s="17" t="s">
        <v>40</v>
      </c>
      <c r="D37" s="17" t="s">
        <v>41</v>
      </c>
      <c r="E37" s="19" t="s">
        <v>46</v>
      </c>
      <c r="F37" s="17">
        <v>2008.0</v>
      </c>
      <c r="G37" s="17">
        <v>8.5</v>
      </c>
      <c r="H37" s="16">
        <v>8.415000000000001</v>
      </c>
      <c r="I37" s="16">
        <v>15806.6</v>
      </c>
      <c r="J37" s="16">
        <v>66676.55</v>
      </c>
      <c r="K37" s="16">
        <v>160.395</v>
      </c>
      <c r="L37" s="16">
        <v>1769.9550000000002</v>
      </c>
      <c r="M37" s="16">
        <v>5.355</v>
      </c>
      <c r="N37" s="16">
        <v>7.0</v>
      </c>
      <c r="O37" s="16">
        <v>5.0</v>
      </c>
      <c r="P37" s="16">
        <v>78.0</v>
      </c>
      <c r="Q37" s="17" t="str">
        <f t="shared" si="1"/>
        <v>15.6</v>
      </c>
      <c r="R37" s="17" t="str">
        <f t="shared" si="2"/>
        <v>0.6363636364</v>
      </c>
      <c r="S37" s="17" t="str">
        <f t="shared" si="8"/>
        <v>0.7142857143</v>
      </c>
      <c r="T37" s="17" t="s">
        <v>30</v>
      </c>
      <c r="U37" s="17" t="str">
        <f>IF(R37&lt;0.1, "Partial discharge", "Low temperature thermal ")</f>
        <v>Low temperature thermal </v>
      </c>
      <c r="V37" s="17" t="str">
        <f t="shared" ref="V37:V39" si="40">IF(S37&lt;1,"Partial discharge, Normal ",IF(S37&gt;3,"Arching,Thermal  Fault &gt; 700 c"))</f>
        <v>Partial discharge, Normal </v>
      </c>
      <c r="W37" s="17" t="str">
        <f t="shared" si="3"/>
        <v>15.6</v>
      </c>
      <c r="X37" s="17" t="str">
        <f t="shared" si="33"/>
        <v>0.6363636364</v>
      </c>
      <c r="Y37" s="17" t="str">
        <f t="shared" si="9"/>
        <v>0.7142857143</v>
      </c>
      <c r="Z37" s="17" t="str">
        <f t="shared" si="39"/>
        <v>Discharge of Low Energy,  </v>
      </c>
      <c r="AA37" s="17" t="s">
        <v>34</v>
      </c>
      <c r="AB37" s="17" t="s">
        <v>59</v>
      </c>
      <c r="AC37" s="17" t="str">
        <f t="shared" si="5"/>
        <v>0.6363636364</v>
      </c>
      <c r="AD37" s="18" t="str">
        <f t="shared" si="10"/>
        <v>15.6</v>
      </c>
      <c r="AE37" s="17" t="str">
        <f t="shared" si="6"/>
        <v>14.56582633</v>
      </c>
      <c r="AF37" s="17" t="str">
        <f t="shared" si="11"/>
        <v>0.08974358974</v>
      </c>
      <c r="AG37" s="17" t="s">
        <v>30</v>
      </c>
      <c r="AH37" s="17" t="str">
        <f t="shared" si="12"/>
        <v>Arching</v>
      </c>
      <c r="AI37" s="17" t="str">
        <f t="shared" si="16"/>
        <v>Arching</v>
      </c>
      <c r="AJ37" s="17" t="str">
        <f t="shared" si="7"/>
        <v>Arching</v>
      </c>
    </row>
    <row r="38" ht="12.75" customHeight="1">
      <c r="A38" s="11">
        <v>36.0</v>
      </c>
      <c r="B38" s="17">
        <v>172583.0</v>
      </c>
      <c r="C38" s="17" t="s">
        <v>40</v>
      </c>
      <c r="D38" s="17" t="s">
        <v>41</v>
      </c>
      <c r="E38" s="19" t="s">
        <v>46</v>
      </c>
      <c r="F38" s="17">
        <v>2006.0</v>
      </c>
      <c r="G38" s="17">
        <v>8.2</v>
      </c>
      <c r="H38" s="16">
        <v>5.084</v>
      </c>
      <c r="I38" s="16">
        <v>14945.648</v>
      </c>
      <c r="J38" s="16">
        <v>64417.806</v>
      </c>
      <c r="K38" s="16">
        <v>166.86999999999998</v>
      </c>
      <c r="L38" s="16">
        <v>1974.4779999999998</v>
      </c>
      <c r="M38" s="16">
        <v>5.1659999999999995</v>
      </c>
      <c r="N38" s="16">
        <v>7.297999999999999</v>
      </c>
      <c r="O38" s="16">
        <v>3.6899999999999995</v>
      </c>
      <c r="P38" s="16">
        <v>8.0</v>
      </c>
      <c r="Q38" s="17" t="str">
        <f t="shared" si="1"/>
        <v>2.16802168</v>
      </c>
      <c r="R38" s="17" t="str">
        <f t="shared" si="2"/>
        <v>1.016129032</v>
      </c>
      <c r="S38" s="17" t="str">
        <f t="shared" si="8"/>
        <v>0.5056179775</v>
      </c>
      <c r="T38" s="17" t="s">
        <v>30</v>
      </c>
      <c r="U38" s="17" t="str">
        <f>IF(R38&gt;1,"Thermal Fault &lt;700c, thermal fault &gt;700c ")</f>
        <v>Thermal Fault &lt;700c, thermal fault &gt;700c </v>
      </c>
      <c r="V38" s="17" t="str">
        <f t="shared" si="40"/>
        <v>Partial discharge, Normal </v>
      </c>
      <c r="W38" s="17" t="str">
        <f t="shared" si="3"/>
        <v>2.16802168</v>
      </c>
      <c r="X38" s="17" t="str">
        <f t="shared" si="33"/>
        <v>1.016129032</v>
      </c>
      <c r="Y38" s="17" t="str">
        <f t="shared" si="9"/>
        <v>0.5056179775</v>
      </c>
      <c r="Z38" s="17" t="str">
        <f t="shared" si="39"/>
        <v>Discharge of Low Energy,  </v>
      </c>
      <c r="AA38" s="17" t="str">
        <f t="shared" ref="AA38:AA39" si="41">IF(X38&lt;0.1,"Partial Discharges, ",IF(X38&gt;1,"Thermal  Fault &gt;300c and&lt;700 and &gt;700 c"))</f>
        <v>Thermal  Fault &gt;300c and&lt;700 and &gt;700 c</v>
      </c>
      <c r="AB38" s="17" t="s">
        <v>59</v>
      </c>
      <c r="AC38" s="17" t="str">
        <f t="shared" si="5"/>
        <v>1.016129032</v>
      </c>
      <c r="AD38" s="18" t="str">
        <f t="shared" si="10"/>
        <v>2.16802168</v>
      </c>
      <c r="AE38" s="17" t="str">
        <f t="shared" si="6"/>
        <v>1.548586914</v>
      </c>
      <c r="AF38" s="17" t="str">
        <f t="shared" si="11"/>
        <v>0.91225</v>
      </c>
      <c r="AG38" s="17" t="str">
        <f t="shared" ref="AG38:AG39" si="42">IF(AC38&gt;1,"Thermal Decomposition, ",IF(AC38&lt;0.1,"Corona,Arching"))</f>
        <v>Thermal Decomposition, </v>
      </c>
      <c r="AH38" s="17" t="str">
        <f t="shared" si="12"/>
        <v>Arching</v>
      </c>
      <c r="AI38" s="17" t="str">
        <f t="shared" si="16"/>
        <v>Arching</v>
      </c>
      <c r="AJ38" s="17" t="str">
        <f t="shared" si="7"/>
        <v>Thermal Decomposition,corona </v>
      </c>
    </row>
    <row r="39" ht="12.75" customHeight="1">
      <c r="A39" s="11">
        <v>37.0</v>
      </c>
      <c r="B39" s="17" t="s">
        <v>63</v>
      </c>
      <c r="C39" s="17" t="s">
        <v>40</v>
      </c>
      <c r="D39" s="17" t="s">
        <v>41</v>
      </c>
      <c r="E39" s="19" t="s">
        <v>52</v>
      </c>
      <c r="F39" s="17">
        <v>2021.0</v>
      </c>
      <c r="G39" s="17">
        <v>8.5</v>
      </c>
      <c r="H39" s="16">
        <v>1.2750000000000001</v>
      </c>
      <c r="I39" s="16">
        <v>15541.740000000002</v>
      </c>
      <c r="J39" s="16">
        <v>67965.405</v>
      </c>
      <c r="K39" s="16">
        <v>63.66499999999999</v>
      </c>
      <c r="L39" s="16">
        <v>654.245</v>
      </c>
      <c r="M39" s="17">
        <v>9.0</v>
      </c>
      <c r="N39" s="17">
        <v>11.0</v>
      </c>
      <c r="O39" s="17">
        <v>5.0</v>
      </c>
      <c r="P39" s="17">
        <v>9.0</v>
      </c>
      <c r="Q39" s="17" t="str">
        <f t="shared" si="1"/>
        <v>1.8</v>
      </c>
      <c r="R39" s="17" t="str">
        <f t="shared" si="2"/>
        <v>7.058823529</v>
      </c>
      <c r="S39" s="17" t="str">
        <f t="shared" si="8"/>
        <v>0.4545454545</v>
      </c>
      <c r="T39" s="17" t="s">
        <v>30</v>
      </c>
      <c r="U39" s="17" t="str">
        <f>IF(R39&lt;0.1, "Partial discharge", "Low temperature thermal ")</f>
        <v>Low temperature thermal </v>
      </c>
      <c r="V39" s="17" t="str">
        <f t="shared" si="40"/>
        <v>Partial discharge, Normal </v>
      </c>
      <c r="W39" s="17" t="str">
        <f t="shared" si="3"/>
        <v>1.8</v>
      </c>
      <c r="X39" s="17" t="str">
        <f t="shared" si="33"/>
        <v>7.058823529</v>
      </c>
      <c r="Y39" s="17" t="str">
        <f t="shared" si="9"/>
        <v>0.4545454545</v>
      </c>
      <c r="Z39" s="17" t="str">
        <f t="shared" si="39"/>
        <v>Discharge of Low Energy,  </v>
      </c>
      <c r="AA39" s="17" t="str">
        <f t="shared" si="41"/>
        <v>Thermal  Fault &gt;300c and&lt;700 and &gt;700 c</v>
      </c>
      <c r="AB39" s="17" t="s">
        <v>59</v>
      </c>
      <c r="AC39" s="17" t="str">
        <f t="shared" si="5"/>
        <v>7.058823529</v>
      </c>
      <c r="AD39" s="18" t="str">
        <f t="shared" si="10"/>
        <v>1.8</v>
      </c>
      <c r="AE39" s="17" t="str">
        <f t="shared" si="6"/>
        <v>1</v>
      </c>
      <c r="AF39" s="17" t="str">
        <f t="shared" si="11"/>
        <v>1.222222222</v>
      </c>
      <c r="AG39" s="17" t="str">
        <f t="shared" si="42"/>
        <v>Thermal Decomposition, </v>
      </c>
      <c r="AH39" s="17" t="str">
        <f t="shared" si="12"/>
        <v>Arching</v>
      </c>
      <c r="AI39" s="17" t="str">
        <f t="shared" si="16"/>
        <v>Arching</v>
      </c>
      <c r="AJ39" s="17" t="str">
        <f t="shared" si="7"/>
        <v>Thermal Decomposition,corona </v>
      </c>
    </row>
    <row r="40" ht="12.75" customHeight="1">
      <c r="A40" s="11">
        <v>38.0</v>
      </c>
      <c r="B40" s="17" t="s">
        <v>64</v>
      </c>
      <c r="C40" s="17" t="s">
        <v>40</v>
      </c>
      <c r="D40" s="17" t="s">
        <v>50</v>
      </c>
      <c r="E40" s="19" t="s">
        <v>65</v>
      </c>
      <c r="F40" s="17">
        <v>2006.0</v>
      </c>
      <c r="G40" s="17">
        <v>8.3</v>
      </c>
      <c r="H40" s="16">
        <v>7.968</v>
      </c>
      <c r="I40" s="16">
        <v>15116.126</v>
      </c>
      <c r="J40" s="16">
        <v>64924.011000000006</v>
      </c>
      <c r="K40" s="16">
        <v>163.92500000000004</v>
      </c>
      <c r="L40" s="16">
        <v>1848.9080000000001</v>
      </c>
      <c r="M40" s="16">
        <v>7.968</v>
      </c>
      <c r="N40" s="16">
        <v>2.988</v>
      </c>
      <c r="O40" s="17">
        <v>7.0</v>
      </c>
      <c r="P40" s="16">
        <v>5.0</v>
      </c>
      <c r="Q40" s="17" t="str">
        <f t="shared" si="1"/>
        <v>0.7142857143</v>
      </c>
      <c r="R40" s="17" t="str">
        <f t="shared" si="2"/>
        <v>1</v>
      </c>
      <c r="S40" s="17" t="str">
        <f t="shared" si="8"/>
        <v>2.34270415</v>
      </c>
      <c r="T40" s="17" t="str">
        <f>IF(Q40&lt;1,"Partial discharge,Low Temprature thermal fault,")</f>
        <v>Partial discharge,Low Temprature thermal fault,</v>
      </c>
      <c r="U40" s="17" t="s">
        <v>31</v>
      </c>
      <c r="V40" s="17" t="s">
        <v>37</v>
      </c>
      <c r="W40" s="17" t="str">
        <f t="shared" si="3"/>
        <v>0.7142857143</v>
      </c>
      <c r="X40" s="17" t="str">
        <f t="shared" si="33"/>
        <v>1</v>
      </c>
      <c r="Y40" s="17" t="str">
        <f t="shared" si="9"/>
        <v>2.34270415</v>
      </c>
      <c r="Z40" s="17" t="s">
        <v>34</v>
      </c>
      <c r="AA40" s="17" t="s">
        <v>34</v>
      </c>
      <c r="AB40" s="17" t="str">
        <f t="shared" ref="AB40:AB41" si="43">IF(Y40&lt;0.2,"Partial Discharges, ",IF(Y40&gt;1,"Thermal  Fault  &gt;700 c"))</f>
        <v>Thermal  Fault  &gt;700 c</v>
      </c>
      <c r="AC40" s="17" t="str">
        <f t="shared" si="5"/>
        <v>1</v>
      </c>
      <c r="AD40" s="18" t="str">
        <f t="shared" si="10"/>
        <v>0.7142857143</v>
      </c>
      <c r="AE40" s="17" t="str">
        <f t="shared" si="6"/>
        <v>0.6275100402</v>
      </c>
      <c r="AF40" s="17" t="str">
        <f t="shared" si="11"/>
        <v>0.5976</v>
      </c>
      <c r="AG40" s="17" t="s">
        <v>30</v>
      </c>
      <c r="AH40" s="17" t="str">
        <f t="shared" si="12"/>
        <v>Thermal Decomposition, </v>
      </c>
      <c r="AI40" s="17" t="str">
        <f t="shared" si="16"/>
        <v>Arching</v>
      </c>
      <c r="AJ40" s="17" t="str">
        <f t="shared" si="7"/>
        <v>Thermal Decomposition,corona </v>
      </c>
    </row>
    <row r="41" ht="12.75" customHeight="1">
      <c r="A41" s="11">
        <v>39.0</v>
      </c>
      <c r="B41" s="17" t="s">
        <v>66</v>
      </c>
      <c r="C41" s="17" t="s">
        <v>40</v>
      </c>
      <c r="D41" s="17" t="s">
        <v>41</v>
      </c>
      <c r="E41" s="20" t="s">
        <v>67</v>
      </c>
      <c r="F41" s="20" t="s">
        <v>67</v>
      </c>
      <c r="G41" s="17">
        <v>8.2</v>
      </c>
      <c r="H41" s="16">
        <v>1.5579999999999998</v>
      </c>
      <c r="I41" s="16">
        <v>15084.392</v>
      </c>
      <c r="J41" s="16">
        <v>64294.477999999996</v>
      </c>
      <c r="K41" s="16">
        <v>141.696</v>
      </c>
      <c r="L41" s="16">
        <v>1555.0479999999998</v>
      </c>
      <c r="M41" s="16">
        <v>6.0</v>
      </c>
      <c r="N41" s="16">
        <v>8.0</v>
      </c>
      <c r="O41" s="17">
        <v>9.0</v>
      </c>
      <c r="P41" s="16">
        <v>34.0</v>
      </c>
      <c r="Q41" s="17" t="str">
        <f t="shared" si="1"/>
        <v>3.777777778</v>
      </c>
      <c r="R41" s="17" t="str">
        <f t="shared" si="2"/>
        <v>3.851091142</v>
      </c>
      <c r="S41" s="17" t="str">
        <f t="shared" si="8"/>
        <v>1.125</v>
      </c>
      <c r="T41" s="17" t="s">
        <v>30</v>
      </c>
      <c r="U41" s="17" t="str">
        <f t="shared" ref="U41:U43" si="44">IF(R41&lt;0.1, "Partial discharge", "Low temperature thermal ")</f>
        <v>Low temperature thermal </v>
      </c>
      <c r="V41" s="17" t="s">
        <v>37</v>
      </c>
      <c r="W41" s="17" t="str">
        <f t="shared" si="3"/>
        <v>3.777777778</v>
      </c>
      <c r="X41" s="17" t="str">
        <f t="shared" si="33"/>
        <v>3.851091142</v>
      </c>
      <c r="Y41" s="17" t="str">
        <f t="shared" si="9"/>
        <v>1.125</v>
      </c>
      <c r="Z41" s="17" t="str">
        <f t="shared" ref="Z41:Z48" si="45">IF(W41&gt;1,"Discharge of Low Energy,  ",IF(W41&lt;0.1,"Thermal  Fault&gt; 300c and&lt;700 c"))</f>
        <v>Discharge of Low Energy,  </v>
      </c>
      <c r="AA41" s="17" t="str">
        <f t="shared" ref="AA41:AA42" si="46">IF(X41&lt;0.1,"Partial Discharges, ",IF(X41&gt;1,"Thermal  Fault &gt;300c and&lt;700 and &gt;700 c"))</f>
        <v>Thermal  Fault &gt;300c and&lt;700 and &gt;700 c</v>
      </c>
      <c r="AB41" s="17" t="str">
        <f t="shared" si="43"/>
        <v>Thermal  Fault  &gt;700 c</v>
      </c>
      <c r="AC41" s="17" t="str">
        <f t="shared" si="5"/>
        <v>3.851091142</v>
      </c>
      <c r="AD41" s="18" t="str">
        <f t="shared" si="10"/>
        <v>3.777777778</v>
      </c>
      <c r="AE41" s="17" t="str">
        <f t="shared" si="6"/>
        <v>5.666666667</v>
      </c>
      <c r="AF41" s="17" t="str">
        <f t="shared" si="11"/>
        <v>0.2352941176</v>
      </c>
      <c r="AG41" s="17" t="str">
        <f t="shared" ref="AG41:AG42" si="47">IF(AC41&gt;1,"Thermal Decomposition, ",IF(AC41&lt;0.1,"Corona,Arching"))</f>
        <v>Thermal Decomposition, </v>
      </c>
      <c r="AH41" s="17" t="str">
        <f t="shared" si="12"/>
        <v>Arching</v>
      </c>
      <c r="AI41" s="17" t="str">
        <f t="shared" si="16"/>
        <v>Arching</v>
      </c>
      <c r="AJ41" s="17" t="str">
        <f t="shared" si="7"/>
        <v>Arching</v>
      </c>
    </row>
    <row r="42" ht="12.75" customHeight="1">
      <c r="A42" s="11">
        <v>40.0</v>
      </c>
      <c r="B42" s="17">
        <v>109396.0</v>
      </c>
      <c r="C42" s="17" t="s">
        <v>40</v>
      </c>
      <c r="D42" s="17" t="s">
        <v>41</v>
      </c>
      <c r="E42" s="19" t="s">
        <v>52</v>
      </c>
      <c r="F42" s="17">
        <v>2020.0</v>
      </c>
      <c r="G42" s="17">
        <v>8.2</v>
      </c>
      <c r="H42" s="16">
        <v>4.017999999999999</v>
      </c>
      <c r="I42" s="16">
        <v>15194.107999999997</v>
      </c>
      <c r="J42" s="16">
        <v>64724.15799999999</v>
      </c>
      <c r="K42" s="16">
        <v>80.934</v>
      </c>
      <c r="L42" s="16">
        <v>976.784</v>
      </c>
      <c r="M42" s="17">
        <v>5.0</v>
      </c>
      <c r="N42" s="17">
        <v>9.0</v>
      </c>
      <c r="O42" s="17">
        <v>5.0</v>
      </c>
      <c r="P42" s="17">
        <v>56.0</v>
      </c>
      <c r="Q42" s="17" t="str">
        <f t="shared" si="1"/>
        <v>11.2</v>
      </c>
      <c r="R42" s="17" t="str">
        <f t="shared" si="2"/>
        <v>1.244400199</v>
      </c>
      <c r="S42" s="17" t="str">
        <f t="shared" si="8"/>
        <v>0.5555555556</v>
      </c>
      <c r="T42" s="17" t="s">
        <v>30</v>
      </c>
      <c r="U42" s="17" t="str">
        <f t="shared" si="44"/>
        <v>Low temperature thermal </v>
      </c>
      <c r="V42" s="17" t="str">
        <f>IF(S42&lt;1,"Partial discharge, Normal ",IF(S42&gt;3,"Arching,Thermal  Fault &gt; 700 c"))</f>
        <v>Partial discharge, Normal </v>
      </c>
      <c r="W42" s="17" t="str">
        <f t="shared" si="3"/>
        <v>11.2</v>
      </c>
      <c r="X42" s="17" t="str">
        <f t="shared" si="33"/>
        <v>1.244400199</v>
      </c>
      <c r="Y42" s="17" t="str">
        <f t="shared" si="9"/>
        <v>0.5555555556</v>
      </c>
      <c r="Z42" s="17" t="str">
        <f t="shared" si="45"/>
        <v>Discharge of Low Energy,  </v>
      </c>
      <c r="AA42" s="17" t="str">
        <f t="shared" si="46"/>
        <v>Thermal  Fault &gt;300c and&lt;700 and &gt;700 c</v>
      </c>
      <c r="AB42" s="17" t="s">
        <v>35</v>
      </c>
      <c r="AC42" s="17" t="str">
        <f t="shared" si="5"/>
        <v>1.244400199</v>
      </c>
      <c r="AD42" s="18" t="str">
        <f t="shared" si="10"/>
        <v>11.2</v>
      </c>
      <c r="AE42" s="17" t="str">
        <f t="shared" si="6"/>
        <v>11.2</v>
      </c>
      <c r="AF42" s="17" t="str">
        <f t="shared" si="11"/>
        <v>0.1607142857</v>
      </c>
      <c r="AG42" s="17" t="str">
        <f t="shared" si="47"/>
        <v>Thermal Decomposition, </v>
      </c>
      <c r="AH42" s="17" t="str">
        <f t="shared" si="12"/>
        <v>Arching</v>
      </c>
      <c r="AI42" s="17" t="str">
        <f t="shared" si="16"/>
        <v>Arching</v>
      </c>
      <c r="AJ42" s="17" t="str">
        <f t="shared" si="7"/>
        <v>Arching</v>
      </c>
    </row>
    <row r="43" ht="12.75" customHeight="1">
      <c r="A43" s="11">
        <v>41.0</v>
      </c>
      <c r="B43" s="17">
        <v>103753.0</v>
      </c>
      <c r="C43" s="17" t="s">
        <v>40</v>
      </c>
      <c r="D43" s="17" t="s">
        <v>41</v>
      </c>
      <c r="E43" s="19" t="s">
        <v>52</v>
      </c>
      <c r="F43" s="17">
        <v>2018.0</v>
      </c>
      <c r="G43" s="17">
        <v>8.5</v>
      </c>
      <c r="H43" s="16">
        <v>15.98</v>
      </c>
      <c r="I43" s="16">
        <v>15494.140000000001</v>
      </c>
      <c r="J43" s="16">
        <v>66367.065</v>
      </c>
      <c r="K43" s="16">
        <v>238.17</v>
      </c>
      <c r="L43" s="16">
        <v>2236.095</v>
      </c>
      <c r="M43" s="16">
        <v>6.205</v>
      </c>
      <c r="N43" s="17">
        <v>5.0</v>
      </c>
      <c r="O43" s="16">
        <v>9.0</v>
      </c>
      <c r="P43" s="17">
        <v>78.0</v>
      </c>
      <c r="Q43" s="17" t="str">
        <f t="shared" si="1"/>
        <v>8.666666667</v>
      </c>
      <c r="R43" s="17" t="str">
        <f t="shared" si="2"/>
        <v>0.3882978723</v>
      </c>
      <c r="S43" s="17" t="str">
        <f t="shared" si="8"/>
        <v>1.8</v>
      </c>
      <c r="T43" s="17" t="s">
        <v>30</v>
      </c>
      <c r="U43" s="17" t="str">
        <f t="shared" si="44"/>
        <v>Low temperature thermal </v>
      </c>
      <c r="V43" s="17" t="s">
        <v>37</v>
      </c>
      <c r="W43" s="17" t="str">
        <f t="shared" si="3"/>
        <v>8.666666667</v>
      </c>
      <c r="X43" s="17" t="str">
        <f t="shared" si="33"/>
        <v>0.3882978723</v>
      </c>
      <c r="Y43" s="17" t="str">
        <f t="shared" si="9"/>
        <v>1.8</v>
      </c>
      <c r="Z43" s="17" t="str">
        <f t="shared" si="45"/>
        <v>Discharge of Low Energy,  </v>
      </c>
      <c r="AA43" s="17" t="s">
        <v>34</v>
      </c>
      <c r="AB43" s="17" t="str">
        <f>IF(Y43&lt;0.2,"Partial Discharges, ",IF(Y43&gt;1,"Thermal  Fault  &gt;700 c"))</f>
        <v>Thermal  Fault  &gt;700 c</v>
      </c>
      <c r="AC43" s="17" t="str">
        <f t="shared" si="5"/>
        <v>0.3882978723</v>
      </c>
      <c r="AD43" s="18" t="str">
        <f t="shared" si="10"/>
        <v>8.666666667</v>
      </c>
      <c r="AE43" s="17" t="str">
        <f t="shared" si="6"/>
        <v>12.57050766</v>
      </c>
      <c r="AF43" s="17" t="str">
        <f t="shared" si="11"/>
        <v>0.0641025641</v>
      </c>
      <c r="AG43" s="17" t="s">
        <v>30</v>
      </c>
      <c r="AH43" s="17" t="str">
        <f t="shared" si="12"/>
        <v>Arching</v>
      </c>
      <c r="AI43" s="17" t="str">
        <f t="shared" si="16"/>
        <v>Arching</v>
      </c>
      <c r="AJ43" s="17" t="str">
        <f t="shared" si="7"/>
        <v>Arching</v>
      </c>
    </row>
    <row r="44" ht="12.75" customHeight="1">
      <c r="A44" s="11">
        <v>42.0</v>
      </c>
      <c r="B44" s="17">
        <v>96588.0</v>
      </c>
      <c r="C44" s="17" t="s">
        <v>40</v>
      </c>
      <c r="D44" s="17" t="s">
        <v>41</v>
      </c>
      <c r="E44" s="19" t="s">
        <v>52</v>
      </c>
      <c r="F44" s="17">
        <v>2015.0</v>
      </c>
      <c r="G44" s="17">
        <v>8.1</v>
      </c>
      <c r="H44" s="16">
        <v>2.835</v>
      </c>
      <c r="I44" s="16">
        <v>15295.472999999998</v>
      </c>
      <c r="J44" s="16">
        <v>60813.909</v>
      </c>
      <c r="K44" s="16">
        <v>406.863</v>
      </c>
      <c r="L44" s="16">
        <v>3858.2729999999997</v>
      </c>
      <c r="M44" s="16">
        <v>11.177999999999999</v>
      </c>
      <c r="N44" s="16">
        <v>7.3709999999999996</v>
      </c>
      <c r="O44" s="16">
        <v>5.0</v>
      </c>
      <c r="P44" s="17">
        <v>45.0</v>
      </c>
      <c r="Q44" s="17" t="str">
        <f t="shared" si="1"/>
        <v>9</v>
      </c>
      <c r="R44" s="17" t="str">
        <f t="shared" si="2"/>
        <v>3.942857143</v>
      </c>
      <c r="S44" s="17" t="str">
        <f t="shared" si="8"/>
        <v>0.6783340117</v>
      </c>
      <c r="T44" s="17" t="s">
        <v>30</v>
      </c>
      <c r="U44" s="17" t="str">
        <f>IF(R44&gt;1,"Thermal Fault &lt;700c, thermal fault &gt;700c ")</f>
        <v>Thermal Fault &lt;700c, thermal fault &gt;700c </v>
      </c>
      <c r="V44" s="17" t="str">
        <f t="shared" ref="V44:V48" si="48">IF(S44&lt;1,"Partial discharge, Normal ",IF(S44&gt;3,"Arching,Thermal  Fault &gt; 700 c"))</f>
        <v>Partial discharge, Normal </v>
      </c>
      <c r="W44" s="17" t="str">
        <f t="shared" si="3"/>
        <v>9</v>
      </c>
      <c r="X44" s="17" t="str">
        <f t="shared" si="33"/>
        <v>3.942857143</v>
      </c>
      <c r="Y44" s="17" t="str">
        <f t="shared" si="9"/>
        <v>0.6783340117</v>
      </c>
      <c r="Z44" s="17" t="str">
        <f t="shared" si="45"/>
        <v>Discharge of Low Energy,  </v>
      </c>
      <c r="AA44" s="17" t="str">
        <f t="shared" ref="AA44:AA48" si="49">IF(X44&lt;0.1,"Partial Discharges, ",IF(X44&gt;1,"Thermal  Fault &gt;300c and&lt;700 and &gt;700 c"))</f>
        <v>Thermal  Fault &gt;300c and&lt;700 and &gt;700 c</v>
      </c>
      <c r="AB44" s="17" t="s">
        <v>35</v>
      </c>
      <c r="AC44" s="17" t="str">
        <f t="shared" si="5"/>
        <v>3.942857143</v>
      </c>
      <c r="AD44" s="18" t="str">
        <f t="shared" si="10"/>
        <v>9</v>
      </c>
      <c r="AE44" s="17" t="str">
        <f t="shared" si="6"/>
        <v>4.025764895</v>
      </c>
      <c r="AF44" s="17" t="str">
        <f t="shared" si="11"/>
        <v>0.1638</v>
      </c>
      <c r="AG44" s="17" t="str">
        <f t="shared" ref="AG44:AG48" si="50">IF(AC44&gt;1,"Thermal Decomposition, ",IF(AC44&lt;0.1,"Corona,Arching"))</f>
        <v>Thermal Decomposition, </v>
      </c>
      <c r="AH44" s="17" t="str">
        <f t="shared" si="12"/>
        <v>Arching</v>
      </c>
      <c r="AI44" s="17" t="str">
        <f t="shared" si="16"/>
        <v>Arching</v>
      </c>
      <c r="AJ44" s="17" t="str">
        <f t="shared" si="7"/>
        <v>Arching</v>
      </c>
    </row>
    <row r="45" ht="12.75" customHeight="1">
      <c r="A45" s="11">
        <v>43.0</v>
      </c>
      <c r="B45" s="17">
        <v>109391.0</v>
      </c>
      <c r="C45" s="17" t="s">
        <v>40</v>
      </c>
      <c r="D45" s="17" t="s">
        <v>41</v>
      </c>
      <c r="E45" s="19" t="s">
        <v>52</v>
      </c>
      <c r="F45" s="17">
        <v>2020.0</v>
      </c>
      <c r="G45" s="17">
        <v>8.4</v>
      </c>
      <c r="H45" s="16">
        <v>7.476000000000001</v>
      </c>
      <c r="I45" s="16">
        <v>15429.288000000002</v>
      </c>
      <c r="J45" s="16">
        <v>66204.012</v>
      </c>
      <c r="K45" s="16">
        <v>115.164</v>
      </c>
      <c r="L45" s="16">
        <v>1180.788</v>
      </c>
      <c r="M45" s="16">
        <v>8.0</v>
      </c>
      <c r="N45" s="16">
        <v>11.0</v>
      </c>
      <c r="O45" s="16">
        <v>9.0</v>
      </c>
      <c r="P45" s="16">
        <v>23.0</v>
      </c>
      <c r="Q45" s="17" t="str">
        <f t="shared" si="1"/>
        <v>2.555555556</v>
      </c>
      <c r="R45" s="17" t="str">
        <f t="shared" si="2"/>
        <v>1.070090958</v>
      </c>
      <c r="S45" s="17" t="str">
        <f t="shared" si="8"/>
        <v>0.8181818182</v>
      </c>
      <c r="T45" s="17" t="s">
        <v>30</v>
      </c>
      <c r="U45" s="17" t="str">
        <f>IF(R45&lt;0.1, "Partial discharge", "Low temperature thermal ")</f>
        <v>Low temperature thermal </v>
      </c>
      <c r="V45" s="17" t="str">
        <f t="shared" si="48"/>
        <v>Partial discharge, Normal </v>
      </c>
      <c r="W45" s="17" t="str">
        <f t="shared" si="3"/>
        <v>2.555555556</v>
      </c>
      <c r="X45" s="17" t="str">
        <f t="shared" si="33"/>
        <v>1.070090958</v>
      </c>
      <c r="Y45" s="17" t="str">
        <f t="shared" si="9"/>
        <v>0.8181818182</v>
      </c>
      <c r="Z45" s="17" t="str">
        <f t="shared" si="45"/>
        <v>Discharge of Low Energy,  </v>
      </c>
      <c r="AA45" s="17" t="str">
        <f t="shared" si="49"/>
        <v>Thermal  Fault &gt;300c and&lt;700 and &gt;700 c</v>
      </c>
      <c r="AB45" s="17" t="s">
        <v>68</v>
      </c>
      <c r="AC45" s="17" t="str">
        <f t="shared" si="5"/>
        <v>1.070090958</v>
      </c>
      <c r="AD45" s="18" t="str">
        <f t="shared" si="10"/>
        <v>2.555555556</v>
      </c>
      <c r="AE45" s="17" t="str">
        <f t="shared" si="6"/>
        <v>2.875</v>
      </c>
      <c r="AF45" s="17" t="str">
        <f t="shared" si="11"/>
        <v>0.4782608696</v>
      </c>
      <c r="AG45" s="17" t="str">
        <f t="shared" si="50"/>
        <v>Thermal Decomposition, </v>
      </c>
      <c r="AH45" s="17" t="str">
        <f t="shared" si="12"/>
        <v>Arching</v>
      </c>
      <c r="AI45" s="17" t="str">
        <f t="shared" si="16"/>
        <v>Arching</v>
      </c>
      <c r="AJ45" s="17" t="str">
        <f t="shared" si="7"/>
        <v>Thermal Decomposition,corona </v>
      </c>
    </row>
    <row r="46" ht="12.75" customHeight="1">
      <c r="A46" s="11">
        <v>44.0</v>
      </c>
      <c r="B46" s="17">
        <v>96587.0</v>
      </c>
      <c r="C46" s="17" t="s">
        <v>40</v>
      </c>
      <c r="D46" s="17" t="s">
        <v>41</v>
      </c>
      <c r="E46" s="19" t="s">
        <v>52</v>
      </c>
      <c r="F46" s="17">
        <v>2015.0</v>
      </c>
      <c r="G46" s="17">
        <v>8.5</v>
      </c>
      <c r="H46" s="16">
        <v>4.590000000000001</v>
      </c>
      <c r="I46" s="16">
        <v>15529.160000000002</v>
      </c>
      <c r="J46" s="16">
        <v>65268.780000000006</v>
      </c>
      <c r="K46" s="16">
        <v>246.585</v>
      </c>
      <c r="L46" s="16">
        <v>2827.1849999999995</v>
      </c>
      <c r="M46" s="16">
        <v>7.5649999999999995</v>
      </c>
      <c r="N46" s="17">
        <v>15.0</v>
      </c>
      <c r="O46" s="16">
        <v>5.0</v>
      </c>
      <c r="P46" s="17">
        <v>56.0</v>
      </c>
      <c r="Q46" s="17" t="str">
        <f t="shared" si="1"/>
        <v>11.2</v>
      </c>
      <c r="R46" s="17" t="str">
        <f t="shared" si="2"/>
        <v>1.648148148</v>
      </c>
      <c r="S46" s="17" t="str">
        <f t="shared" si="8"/>
        <v>0.3333333333</v>
      </c>
      <c r="T46" s="17" t="s">
        <v>30</v>
      </c>
      <c r="U46" s="17" t="str">
        <f t="shared" ref="U46:U48" si="51">IF(R46&gt;1,"Thermal Fault &lt;700c, thermal fault &gt;700c ")</f>
        <v>Thermal Fault &lt;700c, thermal fault &gt;700c </v>
      </c>
      <c r="V46" s="17" t="str">
        <f t="shared" si="48"/>
        <v>Partial discharge, Normal </v>
      </c>
      <c r="W46" s="17" t="str">
        <f t="shared" si="3"/>
        <v>11.2</v>
      </c>
      <c r="X46" s="17" t="str">
        <f t="shared" si="33"/>
        <v>1.648148148</v>
      </c>
      <c r="Y46" s="17" t="str">
        <f t="shared" si="9"/>
        <v>0.3333333333</v>
      </c>
      <c r="Z46" s="17" t="str">
        <f t="shared" si="45"/>
        <v>Discharge of Low Energy,  </v>
      </c>
      <c r="AA46" s="17" t="str">
        <f t="shared" si="49"/>
        <v>Thermal  Fault &gt;300c and&lt;700 and &gt;700 c</v>
      </c>
      <c r="AB46" s="17" t="s">
        <v>69</v>
      </c>
      <c r="AC46" s="17" t="str">
        <f t="shared" si="5"/>
        <v>1.648148148</v>
      </c>
      <c r="AD46" s="18" t="str">
        <f t="shared" si="10"/>
        <v>11.2</v>
      </c>
      <c r="AE46" s="17" t="str">
        <f t="shared" si="6"/>
        <v>7.402511566</v>
      </c>
      <c r="AF46" s="17" t="str">
        <f t="shared" si="11"/>
        <v>0.2678571429</v>
      </c>
      <c r="AG46" s="17" t="str">
        <f t="shared" si="50"/>
        <v>Thermal Decomposition, </v>
      </c>
      <c r="AH46" s="17" t="str">
        <f t="shared" si="12"/>
        <v>Arching</v>
      </c>
      <c r="AI46" s="17" t="str">
        <f t="shared" si="16"/>
        <v>Arching</v>
      </c>
      <c r="AJ46" s="17" t="str">
        <f t="shared" si="7"/>
        <v>Arching</v>
      </c>
    </row>
    <row r="47" ht="12.75" customHeight="1">
      <c r="A47" s="11">
        <v>45.0</v>
      </c>
      <c r="B47" s="17" t="s">
        <v>70</v>
      </c>
      <c r="C47" s="17" t="s">
        <v>40</v>
      </c>
      <c r="D47" s="17" t="s">
        <v>41</v>
      </c>
      <c r="E47" s="19" t="s">
        <v>71</v>
      </c>
      <c r="F47" s="17">
        <v>2001.0</v>
      </c>
      <c r="G47" s="17">
        <v>8.2</v>
      </c>
      <c r="H47" s="16">
        <v>6.97</v>
      </c>
      <c r="I47" s="16">
        <v>14893.578</v>
      </c>
      <c r="J47" s="16">
        <v>63449.71399999999</v>
      </c>
      <c r="K47" s="16">
        <v>228.452</v>
      </c>
      <c r="L47" s="16">
        <v>2317.484</v>
      </c>
      <c r="M47" s="16">
        <v>10.496</v>
      </c>
      <c r="N47" s="16">
        <v>7.871999999999998</v>
      </c>
      <c r="O47" s="16">
        <v>3.6899999999999995</v>
      </c>
      <c r="P47" s="17">
        <v>4.0</v>
      </c>
      <c r="Q47" s="17" t="str">
        <f t="shared" si="1"/>
        <v>1.08401084</v>
      </c>
      <c r="R47" s="17" t="str">
        <f t="shared" si="2"/>
        <v>1.505882353</v>
      </c>
      <c r="S47" s="17" t="str">
        <f t="shared" si="8"/>
        <v>0.46875</v>
      </c>
      <c r="T47" s="17" t="s">
        <v>30</v>
      </c>
      <c r="U47" s="17" t="str">
        <f t="shared" si="51"/>
        <v>Thermal Fault &lt;700c, thermal fault &gt;700c </v>
      </c>
      <c r="V47" s="17" t="str">
        <f t="shared" si="48"/>
        <v>Partial discharge, Normal </v>
      </c>
      <c r="W47" s="17" t="str">
        <f t="shared" si="3"/>
        <v>1.08401084</v>
      </c>
      <c r="X47" s="17" t="str">
        <f t="shared" si="33"/>
        <v>1.505882353</v>
      </c>
      <c r="Y47" s="17" t="str">
        <f t="shared" si="9"/>
        <v>0.46875</v>
      </c>
      <c r="Z47" s="17" t="str">
        <f t="shared" si="45"/>
        <v>Discharge of Low Energy,  </v>
      </c>
      <c r="AA47" s="17" t="str">
        <f t="shared" si="49"/>
        <v>Thermal  Fault &gt;300c and&lt;700 and &gt;700 c</v>
      </c>
      <c r="AB47" s="17" t="s">
        <v>72</v>
      </c>
      <c r="AC47" s="17" t="str">
        <f t="shared" si="5"/>
        <v>1.505882353</v>
      </c>
      <c r="AD47" s="18" t="str">
        <f t="shared" si="10"/>
        <v>1.08401084</v>
      </c>
      <c r="AE47" s="17" t="str">
        <f t="shared" si="6"/>
        <v>0.381097561</v>
      </c>
      <c r="AF47" s="17" t="str">
        <f t="shared" si="11"/>
        <v>1.968</v>
      </c>
      <c r="AG47" s="17" t="str">
        <f t="shared" si="50"/>
        <v>Thermal Decomposition, </v>
      </c>
      <c r="AH47" s="17" t="str">
        <f t="shared" si="12"/>
        <v>Arching</v>
      </c>
      <c r="AI47" s="17" t="str">
        <f t="shared" si="16"/>
        <v>Arching</v>
      </c>
      <c r="AJ47" s="17" t="str">
        <f t="shared" si="7"/>
        <v>Thermal Decomposition,corona </v>
      </c>
    </row>
    <row r="48" ht="12.75" customHeight="1">
      <c r="A48" s="11">
        <v>46.0</v>
      </c>
      <c r="B48" s="17">
        <v>1.0000000008E10</v>
      </c>
      <c r="C48" s="17" t="s">
        <v>40</v>
      </c>
      <c r="D48" s="17" t="s">
        <v>41</v>
      </c>
      <c r="E48" s="19" t="s">
        <v>44</v>
      </c>
      <c r="F48" s="17">
        <v>2003.0</v>
      </c>
      <c r="G48" s="17">
        <v>8.6</v>
      </c>
      <c r="H48" s="16">
        <v>1.892</v>
      </c>
      <c r="I48" s="16">
        <v>16321.51</v>
      </c>
      <c r="J48" s="16">
        <v>66716.736</v>
      </c>
      <c r="K48" s="16">
        <v>142.33</v>
      </c>
      <c r="L48" s="16">
        <v>1659.628</v>
      </c>
      <c r="M48" s="16">
        <v>15.909999999999998</v>
      </c>
      <c r="N48" s="16">
        <v>4.644</v>
      </c>
      <c r="O48" s="16">
        <v>42.57</v>
      </c>
      <c r="P48" s="17">
        <v>2.0</v>
      </c>
      <c r="Q48" s="17" t="str">
        <f t="shared" si="1"/>
        <v>0.04698144233</v>
      </c>
      <c r="R48" s="17" t="str">
        <f t="shared" si="2"/>
        <v>8.409090909</v>
      </c>
      <c r="S48" s="17" t="str">
        <f t="shared" si="8"/>
        <v>9.166666667</v>
      </c>
      <c r="T48" s="17" t="str">
        <f t="shared" ref="T48:T54" si="52">IF(Q48&lt;1,"Partial discharge,Low Temprature thermal fault,")</f>
        <v>Partial discharge,Low Temprature thermal fault,</v>
      </c>
      <c r="U48" s="17" t="str">
        <f t="shared" si="51"/>
        <v>Thermal Fault &lt;700c, thermal fault &gt;700c </v>
      </c>
      <c r="V48" s="17" t="str">
        <f t="shared" si="48"/>
        <v>Arching,Thermal  Fault &gt; 700 c</v>
      </c>
      <c r="W48" s="17" t="str">
        <f t="shared" si="3"/>
        <v>0.04698144233</v>
      </c>
      <c r="X48" s="17" t="str">
        <f t="shared" si="33"/>
        <v>8.409090909</v>
      </c>
      <c r="Y48" s="17" t="str">
        <f t="shared" si="9"/>
        <v>9.166666667</v>
      </c>
      <c r="Z48" s="17" t="str">
        <f t="shared" si="45"/>
        <v>Thermal  Fault&gt; 300c and&lt;700 c</v>
      </c>
      <c r="AA48" s="17" t="str">
        <f t="shared" si="49"/>
        <v>Thermal  Fault &gt;300c and&lt;700 and &gt;700 c</v>
      </c>
      <c r="AB48" s="17" t="str">
        <f t="shared" ref="AB48:AB49" si="53">IF(Y48&lt;0.2,"Partial Discharges, ",IF(Y48&gt;1,"Thermal  Fault  &gt;700 c"))</f>
        <v>Thermal  Fault  &gt;700 c</v>
      </c>
      <c r="AC48" s="17" t="str">
        <f t="shared" si="5"/>
        <v>8.409090909</v>
      </c>
      <c r="AD48" s="18" t="str">
        <f t="shared" si="10"/>
        <v>0.04698144233</v>
      </c>
      <c r="AE48" s="17" t="str">
        <f t="shared" si="6"/>
        <v>0.1257071025</v>
      </c>
      <c r="AF48" s="17" t="str">
        <f t="shared" si="11"/>
        <v>2.322</v>
      </c>
      <c r="AG48" s="17" t="str">
        <f t="shared" si="50"/>
        <v>Thermal Decomposition, </v>
      </c>
      <c r="AH48" s="17" t="str">
        <f t="shared" si="12"/>
        <v>Thermal Decomposition, </v>
      </c>
      <c r="AI48" s="17" t="str">
        <f t="shared" si="16"/>
        <v>Thermal Decomposition,corona </v>
      </c>
      <c r="AJ48" s="17" t="str">
        <f t="shared" si="7"/>
        <v>Thermal Decomposition,corona </v>
      </c>
    </row>
    <row r="49" ht="12.75" customHeight="1">
      <c r="A49" s="11">
        <v>47.0</v>
      </c>
      <c r="B49" s="17">
        <v>172579.0</v>
      </c>
      <c r="C49" s="17" t="s">
        <v>40</v>
      </c>
      <c r="D49" s="17" t="s">
        <v>41</v>
      </c>
      <c r="E49" s="19" t="s">
        <v>46</v>
      </c>
      <c r="F49" s="17">
        <v>2006.0</v>
      </c>
      <c r="G49" s="17">
        <v>8.3</v>
      </c>
      <c r="H49" s="16">
        <v>6.059</v>
      </c>
      <c r="I49" s="16">
        <v>15106.581000000002</v>
      </c>
      <c r="J49" s="16">
        <v>65421.928000000014</v>
      </c>
      <c r="K49" s="16">
        <v>139.52300000000002</v>
      </c>
      <c r="L49" s="16">
        <v>1423.118</v>
      </c>
      <c r="M49" s="16">
        <v>5.146000000000001</v>
      </c>
      <c r="N49" s="16">
        <v>5.893000000000001</v>
      </c>
      <c r="O49" s="16">
        <v>8.0</v>
      </c>
      <c r="P49" s="16">
        <v>4.0</v>
      </c>
      <c r="Q49" s="17" t="str">
        <f t="shared" si="1"/>
        <v>0.5</v>
      </c>
      <c r="R49" s="17" t="str">
        <f t="shared" si="2"/>
        <v>0.8493150685</v>
      </c>
      <c r="S49" s="17" t="str">
        <f t="shared" si="8"/>
        <v>1.357542847</v>
      </c>
      <c r="T49" s="17" t="str">
        <f t="shared" si="52"/>
        <v>Partial discharge,Low Temprature thermal fault,</v>
      </c>
      <c r="U49" s="17" t="s">
        <v>31</v>
      </c>
      <c r="V49" s="17" t="s">
        <v>37</v>
      </c>
      <c r="W49" s="17" t="str">
        <f t="shared" si="3"/>
        <v>0.5</v>
      </c>
      <c r="X49" s="17" t="str">
        <f t="shared" si="33"/>
        <v>0.8493150685</v>
      </c>
      <c r="Y49" s="17" t="str">
        <f t="shared" si="9"/>
        <v>1.357542847</v>
      </c>
      <c r="Z49" s="17" t="s">
        <v>34</v>
      </c>
      <c r="AA49" s="17" t="s">
        <v>34</v>
      </c>
      <c r="AB49" s="17" t="str">
        <f t="shared" si="53"/>
        <v>Thermal  Fault  &gt;700 c</v>
      </c>
      <c r="AC49" s="17" t="str">
        <f t="shared" si="5"/>
        <v>0.8493150685</v>
      </c>
      <c r="AD49" s="18" t="str">
        <f t="shared" si="10"/>
        <v>0.5</v>
      </c>
      <c r="AE49" s="17" t="str">
        <f t="shared" si="6"/>
        <v>0.7773027594</v>
      </c>
      <c r="AF49" s="17" t="str">
        <f t="shared" si="11"/>
        <v>1.47325</v>
      </c>
      <c r="AG49" s="17" t="s">
        <v>30</v>
      </c>
      <c r="AH49" s="17" t="str">
        <f t="shared" si="12"/>
        <v>Thermal Decomposition, </v>
      </c>
      <c r="AI49" s="17" t="str">
        <f t="shared" si="16"/>
        <v>Arching</v>
      </c>
      <c r="AJ49" s="17" t="str">
        <f t="shared" si="7"/>
        <v>Thermal Decomposition,corona </v>
      </c>
    </row>
    <row r="50" ht="12.75" customHeight="1">
      <c r="A50" s="11">
        <v>48.0</v>
      </c>
      <c r="B50" s="19" t="s">
        <v>73</v>
      </c>
      <c r="C50" s="17" t="s">
        <v>40</v>
      </c>
      <c r="D50" s="17" t="s">
        <v>41</v>
      </c>
      <c r="E50" s="19" t="s">
        <v>44</v>
      </c>
      <c r="F50" s="17">
        <v>2003.0</v>
      </c>
      <c r="G50" s="17">
        <v>8.3</v>
      </c>
      <c r="H50" s="16">
        <v>1.66</v>
      </c>
      <c r="I50" s="16">
        <v>14576.709000000003</v>
      </c>
      <c r="J50" s="16">
        <v>65447.40900000001</v>
      </c>
      <c r="K50" s="16">
        <v>182.76600000000002</v>
      </c>
      <c r="L50" s="16">
        <v>2046.0330000000004</v>
      </c>
      <c r="M50" s="16">
        <v>7.968</v>
      </c>
      <c r="N50" s="16">
        <v>11.0</v>
      </c>
      <c r="O50" s="16">
        <v>6.225</v>
      </c>
      <c r="P50" s="16">
        <v>1.0</v>
      </c>
      <c r="Q50" s="17" t="str">
        <f t="shared" si="1"/>
        <v>0.1606425703</v>
      </c>
      <c r="R50" s="17" t="str">
        <f t="shared" si="2"/>
        <v>4.8</v>
      </c>
      <c r="S50" s="17" t="str">
        <f t="shared" si="8"/>
        <v>0.5659090909</v>
      </c>
      <c r="T50" s="17" t="str">
        <f t="shared" si="52"/>
        <v>Partial discharge,Low Temprature thermal fault,</v>
      </c>
      <c r="U50" s="17" t="str">
        <f>IF(R50&gt;1,"Thermal Fault &lt;700c, thermal fault &gt;700c ")</f>
        <v>Thermal Fault &lt;700c, thermal fault &gt;700c </v>
      </c>
      <c r="V50" s="17" t="str">
        <f t="shared" ref="V50:V51" si="54">IF(S50&lt;1,"Partial discharge, Normal ",IF(S50&gt;3,"Arching,Thermal  Fault &gt; 700 c"))</f>
        <v>Partial discharge, Normal </v>
      </c>
      <c r="W50" s="17" t="str">
        <f t="shared" si="3"/>
        <v>0.1606425703</v>
      </c>
      <c r="X50" s="17" t="str">
        <f t="shared" si="33"/>
        <v>4.8</v>
      </c>
      <c r="Y50" s="17" t="str">
        <f t="shared" si="9"/>
        <v>0.5659090909</v>
      </c>
      <c r="Z50" s="17" t="s">
        <v>34</v>
      </c>
      <c r="AA50" s="17" t="str">
        <f>IF(X50&lt;0.1,"Partial Discharges, ",IF(X50&gt;1,"Thermal  Fault &gt;300c and&lt;700 and &gt;700 c"))</f>
        <v>Thermal  Fault &gt;300c and&lt;700 and &gt;700 c</v>
      </c>
      <c r="AB50" s="17" t="s">
        <v>35</v>
      </c>
      <c r="AC50" s="17" t="str">
        <f t="shared" si="5"/>
        <v>4.8</v>
      </c>
      <c r="AD50" s="18" t="str">
        <f t="shared" si="10"/>
        <v>0.1606425703</v>
      </c>
      <c r="AE50" s="17" t="str">
        <f t="shared" si="6"/>
        <v>0.125502008</v>
      </c>
      <c r="AF50" s="17" t="str">
        <f t="shared" si="11"/>
        <v>11</v>
      </c>
      <c r="AG50" s="17" t="str">
        <f>IF(AC50&gt;1,"Thermal Decomposition, ",IF(AC50&lt;0.1,"Corona,Arching"))</f>
        <v>Thermal Decomposition, </v>
      </c>
      <c r="AH50" s="17" t="str">
        <f t="shared" si="12"/>
        <v>Thermal Decomposition, </v>
      </c>
      <c r="AI50" s="17" t="str">
        <f t="shared" si="16"/>
        <v>Thermal Decomposition,corona </v>
      </c>
      <c r="AJ50" s="17" t="str">
        <f t="shared" si="7"/>
        <v>Thermal Decomposition,corona </v>
      </c>
    </row>
    <row r="51" ht="12.75" customHeight="1">
      <c r="A51" s="11">
        <v>49.0</v>
      </c>
      <c r="B51" s="17">
        <v>172582.0</v>
      </c>
      <c r="C51" s="17" t="s">
        <v>40</v>
      </c>
      <c r="D51" s="17" t="s">
        <v>41</v>
      </c>
      <c r="E51" s="19" t="s">
        <v>65</v>
      </c>
      <c r="F51" s="17">
        <v>2006.0</v>
      </c>
      <c r="G51" s="17">
        <v>8.2</v>
      </c>
      <c r="H51" s="16">
        <v>5.6579999999999995</v>
      </c>
      <c r="I51" s="16">
        <v>14967.951999999997</v>
      </c>
      <c r="J51" s="16">
        <v>64167.952000000005</v>
      </c>
      <c r="K51" s="16">
        <v>164.082</v>
      </c>
      <c r="L51" s="16">
        <v>1747.8299999999997</v>
      </c>
      <c r="M51" s="16">
        <v>3.1979999999999995</v>
      </c>
      <c r="N51" s="16">
        <v>14.0</v>
      </c>
      <c r="O51" s="16">
        <v>5.6579999999999995</v>
      </c>
      <c r="P51" s="16">
        <v>5.0</v>
      </c>
      <c r="Q51" s="17" t="str">
        <f t="shared" si="1"/>
        <v>0.8837044892</v>
      </c>
      <c r="R51" s="17" t="str">
        <f t="shared" si="2"/>
        <v>0.5652173913</v>
      </c>
      <c r="S51" s="17" t="str">
        <f t="shared" si="8"/>
        <v>0.4041428571</v>
      </c>
      <c r="T51" s="17" t="str">
        <f t="shared" si="52"/>
        <v>Partial discharge,Low Temprature thermal fault,</v>
      </c>
      <c r="U51" s="17" t="s">
        <v>31</v>
      </c>
      <c r="V51" s="17" t="str">
        <f t="shared" si="54"/>
        <v>Partial discharge, Normal </v>
      </c>
      <c r="W51" s="17" t="str">
        <f t="shared" si="3"/>
        <v>0.8837044892</v>
      </c>
      <c r="X51" s="17" t="str">
        <f t="shared" si="33"/>
        <v>0.5652173913</v>
      </c>
      <c r="Y51" s="17" t="str">
        <f t="shared" si="9"/>
        <v>0.4041428571</v>
      </c>
      <c r="Z51" s="17" t="s">
        <v>34</v>
      </c>
      <c r="AA51" s="17" t="s">
        <v>34</v>
      </c>
      <c r="AB51" s="17" t="s">
        <v>35</v>
      </c>
      <c r="AC51" s="17" t="str">
        <f t="shared" si="5"/>
        <v>0.5652173913</v>
      </c>
      <c r="AD51" s="18" t="str">
        <f t="shared" si="10"/>
        <v>0.8837044892</v>
      </c>
      <c r="AE51" s="17" t="str">
        <f t="shared" si="6"/>
        <v>1.563477173</v>
      </c>
      <c r="AF51" s="17" t="str">
        <f t="shared" si="11"/>
        <v>2.8</v>
      </c>
      <c r="AG51" s="17" t="s">
        <v>30</v>
      </c>
      <c r="AH51" s="17" t="str">
        <f t="shared" si="12"/>
        <v>Arching</v>
      </c>
      <c r="AI51" s="17" t="str">
        <f t="shared" si="16"/>
        <v>Arching</v>
      </c>
      <c r="AJ51" s="17" t="str">
        <f t="shared" si="7"/>
        <v>Thermal Decomposition,corona </v>
      </c>
    </row>
    <row r="52" ht="12.75" customHeight="1">
      <c r="A52" s="11">
        <v>50.0</v>
      </c>
      <c r="B52" s="17">
        <v>172527.0</v>
      </c>
      <c r="C52" s="17" t="s">
        <v>40</v>
      </c>
      <c r="D52" s="17" t="s">
        <v>41</v>
      </c>
      <c r="E52" s="19" t="s">
        <v>46</v>
      </c>
      <c r="F52" s="17">
        <v>2006.0</v>
      </c>
      <c r="G52" s="17">
        <v>8.2</v>
      </c>
      <c r="H52" s="16">
        <v>8.035999999999998</v>
      </c>
      <c r="I52" s="16">
        <v>15103.498</v>
      </c>
      <c r="J52" s="16">
        <v>64099.810000000005</v>
      </c>
      <c r="K52" s="16">
        <v>178.76</v>
      </c>
      <c r="L52" s="16">
        <v>1813.43</v>
      </c>
      <c r="M52" s="16">
        <v>2.3779999999999997</v>
      </c>
      <c r="N52" s="16">
        <v>5.0</v>
      </c>
      <c r="O52" s="16">
        <v>7.625999999999998</v>
      </c>
      <c r="P52" s="16">
        <v>2.0</v>
      </c>
      <c r="Q52" s="17" t="str">
        <f t="shared" si="1"/>
        <v>0.2622606871</v>
      </c>
      <c r="R52" s="17" t="str">
        <f t="shared" si="2"/>
        <v>0.2959183673</v>
      </c>
      <c r="S52" s="17" t="str">
        <f t="shared" si="8"/>
        <v>1.5252</v>
      </c>
      <c r="T52" s="17" t="str">
        <f t="shared" si="52"/>
        <v>Partial discharge,Low Temprature thermal fault,</v>
      </c>
      <c r="U52" s="17" t="s">
        <v>31</v>
      </c>
      <c r="V52" s="17" t="s">
        <v>37</v>
      </c>
      <c r="W52" s="17" t="str">
        <f t="shared" si="3"/>
        <v>0.2622606871</v>
      </c>
      <c r="X52" s="17" t="str">
        <f t="shared" si="33"/>
        <v>0.2959183673</v>
      </c>
      <c r="Y52" s="17" t="str">
        <f t="shared" si="9"/>
        <v>1.5252</v>
      </c>
      <c r="Z52" s="17" t="s">
        <v>34</v>
      </c>
      <c r="AA52" s="17" t="s">
        <v>34</v>
      </c>
      <c r="AB52" s="17" t="str">
        <f t="shared" ref="AB52:AB53" si="55">IF(Y52&lt;0.2,"Partial Discharges, ",IF(Y52&gt;1,"Thermal  Fault  &gt;700 c"))</f>
        <v>Thermal  Fault  &gt;700 c</v>
      </c>
      <c r="AC52" s="17" t="str">
        <f t="shared" si="5"/>
        <v>0.2959183673</v>
      </c>
      <c r="AD52" s="18" t="str">
        <f t="shared" si="10"/>
        <v>0.2622606871</v>
      </c>
      <c r="AE52" s="17" t="str">
        <f t="shared" si="6"/>
        <v>0.8410428932</v>
      </c>
      <c r="AF52" s="17" t="str">
        <f t="shared" si="11"/>
        <v>2.5</v>
      </c>
      <c r="AG52" s="17" t="s">
        <v>30</v>
      </c>
      <c r="AH52" s="17" t="str">
        <f t="shared" si="12"/>
        <v>Thermal Decomposition, </v>
      </c>
      <c r="AI52" s="17" t="str">
        <f t="shared" si="16"/>
        <v>Arching</v>
      </c>
      <c r="AJ52" s="17" t="str">
        <f t="shared" si="7"/>
        <v>Thermal Decomposition,corona </v>
      </c>
    </row>
    <row r="53" ht="12.75" customHeight="1">
      <c r="A53" s="11">
        <v>51.0</v>
      </c>
      <c r="B53" s="17">
        <v>103755.0</v>
      </c>
      <c r="C53" s="17" t="s">
        <v>40</v>
      </c>
      <c r="D53" s="17" t="s">
        <v>41</v>
      </c>
      <c r="E53" s="19" t="s">
        <v>52</v>
      </c>
      <c r="F53" s="17">
        <v>2018.0</v>
      </c>
      <c r="G53" s="17">
        <v>8.6</v>
      </c>
      <c r="H53" s="16">
        <v>7.568</v>
      </c>
      <c r="I53" s="16">
        <v>15732.323999999997</v>
      </c>
      <c r="J53" s="16">
        <v>67972.766</v>
      </c>
      <c r="K53" s="16">
        <v>131.236</v>
      </c>
      <c r="L53" s="16">
        <v>1377.5479999999998</v>
      </c>
      <c r="M53" s="16">
        <v>9.0</v>
      </c>
      <c r="N53" s="16">
        <v>7.0</v>
      </c>
      <c r="O53" s="16">
        <v>8.0</v>
      </c>
      <c r="P53" s="16">
        <v>6.0</v>
      </c>
      <c r="Q53" s="17" t="str">
        <f t="shared" si="1"/>
        <v>0.75</v>
      </c>
      <c r="R53" s="17" t="str">
        <f t="shared" si="2"/>
        <v>1.189217759</v>
      </c>
      <c r="S53" s="17" t="str">
        <f t="shared" si="8"/>
        <v>1.142857143</v>
      </c>
      <c r="T53" s="17" t="str">
        <f t="shared" si="52"/>
        <v>Partial discharge,Low Temprature thermal fault,</v>
      </c>
      <c r="U53" s="17" t="s">
        <v>31</v>
      </c>
      <c r="V53" s="17" t="s">
        <v>37</v>
      </c>
      <c r="W53" s="17" t="str">
        <f t="shared" si="3"/>
        <v>0.75</v>
      </c>
      <c r="X53" s="17" t="str">
        <f t="shared" si="33"/>
        <v>1.189217759</v>
      </c>
      <c r="Y53" s="17" t="str">
        <f t="shared" si="9"/>
        <v>1.142857143</v>
      </c>
      <c r="Z53" s="17" t="s">
        <v>34</v>
      </c>
      <c r="AA53" s="17" t="str">
        <f>IF(X53&lt;0.1,"Partial Discharges, ",IF(X53&gt;1,"Thermal  Fault &gt;300c and&lt;700 and &gt;700 c"))</f>
        <v>Thermal  Fault &gt;300c and&lt;700 and &gt;700 c</v>
      </c>
      <c r="AB53" s="17" t="str">
        <f t="shared" si="55"/>
        <v>Thermal  Fault  &gt;700 c</v>
      </c>
      <c r="AC53" s="17" t="str">
        <f t="shared" si="5"/>
        <v>1.189217759</v>
      </c>
      <c r="AD53" s="18" t="str">
        <f t="shared" si="10"/>
        <v>0.75</v>
      </c>
      <c r="AE53" s="17" t="str">
        <f t="shared" si="6"/>
        <v>0.6666666667</v>
      </c>
      <c r="AF53" s="17" t="str">
        <f t="shared" si="11"/>
        <v>1.166666667</v>
      </c>
      <c r="AG53" s="17" t="str">
        <f>IF(AC53&gt;1,"Thermal Decomposition, ",IF(AC53&lt;0.1,"Corona,Arching"))</f>
        <v>Thermal Decomposition, </v>
      </c>
      <c r="AH53" s="17" t="s">
        <v>30</v>
      </c>
      <c r="AI53" s="17" t="str">
        <f t="shared" si="16"/>
        <v>Arching</v>
      </c>
      <c r="AJ53" s="17" t="str">
        <f t="shared" si="7"/>
        <v>Thermal Decomposition,corona </v>
      </c>
    </row>
    <row r="54" ht="12.75" customHeight="1">
      <c r="A54" s="11">
        <v>52.0</v>
      </c>
      <c r="B54" s="17">
        <v>69544.0</v>
      </c>
      <c r="C54" s="17" t="s">
        <v>40</v>
      </c>
      <c r="D54" s="17" t="s">
        <v>41</v>
      </c>
      <c r="E54" s="19" t="s">
        <v>52</v>
      </c>
      <c r="F54" s="17">
        <v>2012.0</v>
      </c>
      <c r="G54" s="17">
        <v>8.3</v>
      </c>
      <c r="H54" s="16">
        <v>7.968</v>
      </c>
      <c r="I54" s="16">
        <v>15116.707000000002</v>
      </c>
      <c r="J54" s="16">
        <v>63337.881</v>
      </c>
      <c r="K54" s="16">
        <v>276.88800000000003</v>
      </c>
      <c r="L54" s="16">
        <v>3531.899000000001</v>
      </c>
      <c r="M54" s="16">
        <v>3.7350000000000003</v>
      </c>
      <c r="N54" s="16">
        <v>9.0</v>
      </c>
      <c r="O54" s="16">
        <v>9.0</v>
      </c>
      <c r="P54" s="16">
        <v>1.0</v>
      </c>
      <c r="Q54" s="17" t="str">
        <f t="shared" si="1"/>
        <v>0.1111111111</v>
      </c>
      <c r="R54" s="17" t="str">
        <f t="shared" si="2"/>
        <v>0.46875</v>
      </c>
      <c r="S54" s="17" t="str">
        <f t="shared" si="8"/>
        <v>1</v>
      </c>
      <c r="T54" s="17" t="str">
        <f t="shared" si="52"/>
        <v>Partial discharge,Low Temprature thermal fault,</v>
      </c>
      <c r="U54" s="17" t="str">
        <f>IF(R54&lt;0.1, "Partial discharge", "Low temperature thermal ")</f>
        <v>Low temperature thermal </v>
      </c>
      <c r="V54" s="17" t="s">
        <v>37</v>
      </c>
      <c r="W54" s="17" t="str">
        <f t="shared" si="3"/>
        <v>0.1111111111</v>
      </c>
      <c r="X54" s="17" t="str">
        <f t="shared" si="33"/>
        <v>0.46875</v>
      </c>
      <c r="Y54" s="17" t="str">
        <f t="shared" si="9"/>
        <v>1</v>
      </c>
      <c r="Z54" s="17" t="s">
        <v>34</v>
      </c>
      <c r="AA54" s="17" t="s">
        <v>34</v>
      </c>
      <c r="AB54" s="17" t="s">
        <v>35</v>
      </c>
      <c r="AC54" s="17" t="str">
        <f t="shared" si="5"/>
        <v>0.46875</v>
      </c>
      <c r="AD54" s="18" t="str">
        <f t="shared" si="10"/>
        <v>0.1111111111</v>
      </c>
      <c r="AE54" s="17" t="str">
        <f t="shared" si="6"/>
        <v>0.2677376171</v>
      </c>
      <c r="AF54" s="17" t="str">
        <f t="shared" si="11"/>
        <v>9</v>
      </c>
      <c r="AG54" s="17" t="s">
        <v>30</v>
      </c>
      <c r="AH54" s="17" t="str">
        <f t="shared" ref="AH54:AH66" si="56">IF(AD54&lt;0.75,"Thermal Decomposition, ",IF(AD54&gt;0.75,"Arching"))</f>
        <v>Thermal Decomposition, </v>
      </c>
      <c r="AI54" s="17" t="str">
        <f t="shared" si="16"/>
        <v>Thermal Decomposition,corona </v>
      </c>
      <c r="AJ54" s="17" t="str">
        <f t="shared" si="7"/>
        <v>Thermal Decomposition,corona </v>
      </c>
    </row>
    <row r="55" ht="12.75" customHeight="1">
      <c r="A55" s="11">
        <v>53.0</v>
      </c>
      <c r="B55" s="17" t="s">
        <v>74</v>
      </c>
      <c r="C55" s="17" t="s">
        <v>40</v>
      </c>
      <c r="D55" s="17" t="s">
        <v>41</v>
      </c>
      <c r="E55" s="19" t="s">
        <v>52</v>
      </c>
      <c r="F55" s="17">
        <v>2021.0</v>
      </c>
      <c r="G55" s="17">
        <v>8.2</v>
      </c>
      <c r="H55" s="16">
        <v>1.886</v>
      </c>
      <c r="I55" s="16">
        <v>15013.461999999998</v>
      </c>
      <c r="J55" s="16">
        <v>65514.473999999995</v>
      </c>
      <c r="K55" s="16">
        <v>70.11</v>
      </c>
      <c r="L55" s="16">
        <v>828.6919999999999</v>
      </c>
      <c r="M55" s="16">
        <v>6.0</v>
      </c>
      <c r="N55" s="16">
        <v>8.0</v>
      </c>
      <c r="O55" s="16">
        <v>5.0</v>
      </c>
      <c r="P55" s="16">
        <v>8.0</v>
      </c>
      <c r="Q55" s="17" t="str">
        <f t="shared" si="1"/>
        <v>1.6</v>
      </c>
      <c r="R55" s="17" t="str">
        <f t="shared" si="2"/>
        <v>3.181336161</v>
      </c>
      <c r="S55" s="17" t="str">
        <f t="shared" si="8"/>
        <v>0.625</v>
      </c>
      <c r="T55" s="17" t="s">
        <v>30</v>
      </c>
      <c r="U55" s="17" t="s">
        <v>31</v>
      </c>
      <c r="V55" s="17" t="str">
        <f t="shared" ref="V55:V56" si="57">IF(S55&lt;1,"Partial discharge, Normal ",IF(S55&gt;3,"Arching,Thermal  Fault &gt; 700 c"))</f>
        <v>Partial discharge, Normal </v>
      </c>
      <c r="W55" s="17" t="str">
        <f t="shared" si="3"/>
        <v>1.6</v>
      </c>
      <c r="X55" s="17" t="str">
        <f t="shared" si="33"/>
        <v>3.181336161</v>
      </c>
      <c r="Y55" s="17" t="str">
        <f t="shared" si="9"/>
        <v>0.625</v>
      </c>
      <c r="Z55" s="17" t="str">
        <f>IF(W55&gt;1,"Discharge of Low Energy,  ",IF(W55&lt;0.1,"Thermal  Fault&gt; 300c and&lt;700 c"))</f>
        <v>Discharge of Low Energy,  </v>
      </c>
      <c r="AA55" s="17" t="str">
        <f>IF(X55&lt;0.1,"Partial Discharges, ",IF(X55&gt;1,"Thermal  Fault &gt;300c and&lt;700 and &gt;700 c"))</f>
        <v>Thermal  Fault &gt;300c and&lt;700 and &gt;700 c</v>
      </c>
      <c r="AB55" s="17" t="s">
        <v>35</v>
      </c>
      <c r="AC55" s="17" t="str">
        <f t="shared" si="5"/>
        <v>3.181336161</v>
      </c>
      <c r="AD55" s="18" t="str">
        <f t="shared" si="10"/>
        <v>1.6</v>
      </c>
      <c r="AE55" s="17" t="str">
        <f t="shared" si="6"/>
        <v>1.333333333</v>
      </c>
      <c r="AF55" s="17" t="str">
        <f t="shared" si="11"/>
        <v>1</v>
      </c>
      <c r="AG55" s="17" t="str">
        <f>IF(AC55&gt;1,"Thermal Decomposition, ",IF(AC55&lt;0.1,"Corona,Arching"))</f>
        <v>Thermal Decomposition, </v>
      </c>
      <c r="AH55" s="17" t="str">
        <f t="shared" si="56"/>
        <v>Arching</v>
      </c>
      <c r="AI55" s="17" t="str">
        <f t="shared" si="16"/>
        <v>Arching</v>
      </c>
      <c r="AJ55" s="17" t="str">
        <f t="shared" si="7"/>
        <v>Thermal Decomposition,corona </v>
      </c>
    </row>
    <row r="56" ht="12.75" customHeight="1">
      <c r="A56" s="11">
        <v>54.0</v>
      </c>
      <c r="B56" s="17" t="s">
        <v>75</v>
      </c>
      <c r="C56" s="17" t="s">
        <v>40</v>
      </c>
      <c r="D56" s="17" t="s">
        <v>41</v>
      </c>
      <c r="E56" s="19" t="s">
        <v>76</v>
      </c>
      <c r="F56" s="17">
        <v>1982.0</v>
      </c>
      <c r="G56" s="17">
        <v>8.6</v>
      </c>
      <c r="H56" s="16">
        <v>11.008</v>
      </c>
      <c r="I56" s="16">
        <v>15990.496</v>
      </c>
      <c r="J56" s="16">
        <v>66990.302</v>
      </c>
      <c r="K56" s="16">
        <v>189.802</v>
      </c>
      <c r="L56" s="16">
        <v>2186.3522</v>
      </c>
      <c r="M56" s="16">
        <v>7.396</v>
      </c>
      <c r="N56" s="16">
        <v>7.0</v>
      </c>
      <c r="O56" s="16">
        <v>6.0</v>
      </c>
      <c r="P56" s="16">
        <v>5.0</v>
      </c>
      <c r="Q56" s="17" t="str">
        <f t="shared" si="1"/>
        <v>0.8333333333</v>
      </c>
      <c r="R56" s="17" t="str">
        <f t="shared" si="2"/>
        <v>0.671875</v>
      </c>
      <c r="S56" s="17" t="str">
        <f t="shared" si="8"/>
        <v>0.8571428571</v>
      </c>
      <c r="T56" s="17" t="str">
        <f>IF(Q56&lt;1,"Partial discharge,Low Temprature thermal fault,")</f>
        <v>Partial discharge,Low Temprature thermal fault,</v>
      </c>
      <c r="U56" s="17" t="str">
        <f>IF(R56&lt;0.1, "Partial discharge", "Low temperature thermal ")</f>
        <v>Low temperature thermal </v>
      </c>
      <c r="V56" s="17" t="str">
        <f t="shared" si="57"/>
        <v>Partial discharge, Normal </v>
      </c>
      <c r="W56" s="17" t="str">
        <f t="shared" si="3"/>
        <v>0.8333333333</v>
      </c>
      <c r="X56" s="17" t="str">
        <f t="shared" si="33"/>
        <v>0.671875</v>
      </c>
      <c r="Y56" s="17" t="str">
        <f t="shared" si="9"/>
        <v>0.8571428571</v>
      </c>
      <c r="Z56" s="17" t="s">
        <v>34</v>
      </c>
      <c r="AA56" s="17" t="s">
        <v>34</v>
      </c>
      <c r="AB56" s="17" t="s">
        <v>35</v>
      </c>
      <c r="AC56" s="17" t="str">
        <f t="shared" si="5"/>
        <v>0.671875</v>
      </c>
      <c r="AD56" s="18" t="str">
        <f t="shared" si="10"/>
        <v>0.8333333333</v>
      </c>
      <c r="AE56" s="17" t="str">
        <f t="shared" si="6"/>
        <v>0.6760411033</v>
      </c>
      <c r="AF56" s="17" t="str">
        <f t="shared" si="11"/>
        <v>1.4</v>
      </c>
      <c r="AG56" s="17" t="s">
        <v>30</v>
      </c>
      <c r="AH56" s="17" t="str">
        <f t="shared" si="56"/>
        <v>Arching</v>
      </c>
      <c r="AI56" s="17" t="str">
        <f t="shared" si="16"/>
        <v>Arching</v>
      </c>
      <c r="AJ56" s="17" t="str">
        <f t="shared" si="7"/>
        <v>Thermal Decomposition,corona </v>
      </c>
    </row>
    <row r="57" ht="12.75" customHeight="1">
      <c r="A57" s="11">
        <v>55.0</v>
      </c>
      <c r="B57" s="17" t="s">
        <v>77</v>
      </c>
      <c r="C57" s="17" t="s">
        <v>78</v>
      </c>
      <c r="D57" s="17" t="s">
        <v>79</v>
      </c>
      <c r="E57" s="19" t="s">
        <v>80</v>
      </c>
      <c r="F57" s="17">
        <v>2014.0</v>
      </c>
      <c r="G57" s="17">
        <v>8.2</v>
      </c>
      <c r="H57" s="16">
        <v>7.625999999999998</v>
      </c>
      <c r="I57" s="16">
        <v>15902.423999999999</v>
      </c>
      <c r="J57" s="16">
        <v>63598.216</v>
      </c>
      <c r="K57" s="16">
        <v>115.21000000000001</v>
      </c>
      <c r="L57" s="16">
        <v>1150.214</v>
      </c>
      <c r="M57" s="16">
        <v>5.1659999999999995</v>
      </c>
      <c r="N57" s="16">
        <v>6.0</v>
      </c>
      <c r="O57" s="16">
        <v>8.0</v>
      </c>
      <c r="P57" s="16">
        <v>8.0</v>
      </c>
      <c r="Q57" s="17" t="str">
        <f t="shared" si="1"/>
        <v>1</v>
      </c>
      <c r="R57" s="17" t="str">
        <f t="shared" si="2"/>
        <v>0.6774193548</v>
      </c>
      <c r="S57" s="17" t="str">
        <f t="shared" si="8"/>
        <v>1.333333333</v>
      </c>
      <c r="T57" s="17" t="s">
        <v>30</v>
      </c>
      <c r="U57" s="17" t="s">
        <v>31</v>
      </c>
      <c r="V57" s="17" t="s">
        <v>37</v>
      </c>
      <c r="W57" s="17" t="str">
        <f t="shared" si="3"/>
        <v>1</v>
      </c>
      <c r="X57" s="17" t="str">
        <f t="shared" si="33"/>
        <v>0.6774193548</v>
      </c>
      <c r="Y57" s="17" t="str">
        <f t="shared" si="9"/>
        <v>1.333333333</v>
      </c>
      <c r="Z57" s="17" t="s">
        <v>34</v>
      </c>
      <c r="AA57" s="17" t="s">
        <v>34</v>
      </c>
      <c r="AB57" s="17" t="str">
        <f>IF(Y57&lt;0.2,"Partial Discharges, ",IF(Y57&gt;1,"Thermal  Fault  &gt;700 c"))</f>
        <v>Thermal  Fault  &gt;700 c</v>
      </c>
      <c r="AC57" s="17" t="str">
        <f t="shared" si="5"/>
        <v>0.6774193548</v>
      </c>
      <c r="AD57" s="18" t="str">
        <f t="shared" si="10"/>
        <v>1</v>
      </c>
      <c r="AE57" s="17" t="str">
        <f t="shared" si="6"/>
        <v>1.548586914</v>
      </c>
      <c r="AF57" s="17" t="str">
        <f t="shared" si="11"/>
        <v>0.75</v>
      </c>
      <c r="AG57" s="17" t="s">
        <v>30</v>
      </c>
      <c r="AH57" s="17" t="str">
        <f t="shared" si="56"/>
        <v>Arching</v>
      </c>
      <c r="AI57" s="17" t="str">
        <f t="shared" si="16"/>
        <v>Arching</v>
      </c>
      <c r="AJ57" s="17" t="str">
        <f t="shared" si="7"/>
        <v>Thermal Decomposition,corona </v>
      </c>
    </row>
    <row r="58" ht="12.75" customHeight="1">
      <c r="A58" s="11">
        <v>56.0</v>
      </c>
      <c r="B58" s="17" t="s">
        <v>81</v>
      </c>
      <c r="C58" s="17" t="s">
        <v>78</v>
      </c>
      <c r="D58" s="17" t="s">
        <v>79</v>
      </c>
      <c r="E58" s="19" t="s">
        <v>80</v>
      </c>
      <c r="F58" s="17">
        <v>2014.0</v>
      </c>
      <c r="G58" s="17">
        <v>8.0</v>
      </c>
      <c r="H58" s="16">
        <v>16.8</v>
      </c>
      <c r="I58" s="16">
        <v>14509.28</v>
      </c>
      <c r="J58" s="16">
        <v>63676.56</v>
      </c>
      <c r="K58" s="16">
        <v>93.67999999999999</v>
      </c>
      <c r="L58" s="16">
        <v>1194.4</v>
      </c>
      <c r="M58" s="16">
        <v>6.4799999999999995</v>
      </c>
      <c r="N58" s="16">
        <v>12.0</v>
      </c>
      <c r="O58" s="16">
        <v>9.0</v>
      </c>
      <c r="P58" s="16">
        <v>3.0</v>
      </c>
      <c r="Q58" s="17" t="str">
        <f t="shared" si="1"/>
        <v>0.3333333333</v>
      </c>
      <c r="R58" s="17" t="str">
        <f t="shared" si="2"/>
        <v>0.3857142857</v>
      </c>
      <c r="S58" s="17" t="str">
        <f t="shared" si="8"/>
        <v>0.75</v>
      </c>
      <c r="T58" s="17" t="str">
        <f t="shared" ref="T58:T59" si="58">IF(Q58&lt;1,"Partial discharge,Low Temprature thermal fault,")</f>
        <v>Partial discharge,Low Temprature thermal fault,</v>
      </c>
      <c r="U58" s="17" t="s">
        <v>31</v>
      </c>
      <c r="V58" s="17" t="str">
        <f t="shared" ref="V58:V64" si="59">IF(S58&lt;1,"Partial discharge, Normal ",IF(S58&gt;3,"Arching,Thermal  Fault &gt; 700 c"))</f>
        <v>Partial discharge, Normal </v>
      </c>
      <c r="W58" s="17" t="str">
        <f t="shared" si="3"/>
        <v>0.3333333333</v>
      </c>
      <c r="X58" s="17" t="str">
        <f t="shared" si="33"/>
        <v>0.3857142857</v>
      </c>
      <c r="Y58" s="17" t="str">
        <f t="shared" si="9"/>
        <v>0.75</v>
      </c>
      <c r="Z58" s="17" t="s">
        <v>34</v>
      </c>
      <c r="AA58" s="17" t="s">
        <v>34</v>
      </c>
      <c r="AB58" s="17" t="s">
        <v>35</v>
      </c>
      <c r="AC58" s="17" t="str">
        <f t="shared" si="5"/>
        <v>0.3857142857</v>
      </c>
      <c r="AD58" s="18" t="str">
        <f t="shared" si="10"/>
        <v>0.3333333333</v>
      </c>
      <c r="AE58" s="17" t="str">
        <f t="shared" si="6"/>
        <v>0.462962963</v>
      </c>
      <c r="AF58" s="17" t="str">
        <f t="shared" si="11"/>
        <v>4</v>
      </c>
      <c r="AG58" s="17" t="s">
        <v>30</v>
      </c>
      <c r="AH58" s="17" t="str">
        <f t="shared" si="56"/>
        <v>Thermal Decomposition, </v>
      </c>
      <c r="AI58" s="17" t="str">
        <f t="shared" si="16"/>
        <v>Arching</v>
      </c>
      <c r="AJ58" s="17" t="str">
        <f t="shared" si="7"/>
        <v>Thermal Decomposition,corona </v>
      </c>
    </row>
    <row r="59" ht="12.75" customHeight="1">
      <c r="A59" s="11">
        <v>57.0</v>
      </c>
      <c r="B59" s="17">
        <v>2.800046137E9</v>
      </c>
      <c r="C59" s="17" t="s">
        <v>82</v>
      </c>
      <c r="D59" s="17" t="s">
        <v>79</v>
      </c>
      <c r="E59" s="19" t="s">
        <v>83</v>
      </c>
      <c r="F59" s="17">
        <v>1988.0</v>
      </c>
      <c r="G59" s="17">
        <v>8.5</v>
      </c>
      <c r="H59" s="16">
        <v>68.765</v>
      </c>
      <c r="I59" s="16">
        <v>16154.504999999997</v>
      </c>
      <c r="J59" s="16">
        <v>66137.99</v>
      </c>
      <c r="K59" s="16">
        <v>136.93499999999997</v>
      </c>
      <c r="L59" s="16">
        <v>1543.43</v>
      </c>
      <c r="M59" s="16">
        <v>36.720000000000006</v>
      </c>
      <c r="N59" s="16">
        <v>5.525</v>
      </c>
      <c r="O59" s="16">
        <v>34.0</v>
      </c>
      <c r="P59" s="16">
        <v>9.0</v>
      </c>
      <c r="Q59" s="17" t="str">
        <f t="shared" si="1"/>
        <v>0.2647058824</v>
      </c>
      <c r="R59" s="17" t="str">
        <f t="shared" si="2"/>
        <v>0.5339925834</v>
      </c>
      <c r="S59" s="17" t="str">
        <f t="shared" si="8"/>
        <v>6.153846154</v>
      </c>
      <c r="T59" s="17" t="str">
        <f t="shared" si="58"/>
        <v>Partial discharge,Low Temprature thermal fault,</v>
      </c>
      <c r="U59" s="17" t="s">
        <v>31</v>
      </c>
      <c r="V59" s="17" t="str">
        <f t="shared" si="59"/>
        <v>Arching,Thermal  Fault &gt; 700 c</v>
      </c>
      <c r="W59" s="17" t="str">
        <f t="shared" si="3"/>
        <v>0.2647058824</v>
      </c>
      <c r="X59" s="17" t="str">
        <f t="shared" si="33"/>
        <v>0.5339925834</v>
      </c>
      <c r="Y59" s="17" t="str">
        <f t="shared" si="9"/>
        <v>6.153846154</v>
      </c>
      <c r="Z59" s="17" t="s">
        <v>34</v>
      </c>
      <c r="AA59" s="17" t="s">
        <v>34</v>
      </c>
      <c r="AB59" s="17" t="str">
        <f>IF(Y59&lt;0.2,"Partial Discharges, ",IF(Y59&gt;1,"Thermal  Fault  &gt;700 c"))</f>
        <v>Thermal  Fault  &gt;700 c</v>
      </c>
      <c r="AC59" s="17" t="str">
        <f t="shared" si="5"/>
        <v>0.5339925834</v>
      </c>
      <c r="AD59" s="18" t="str">
        <f t="shared" si="10"/>
        <v>0.2647058824</v>
      </c>
      <c r="AE59" s="17" t="str">
        <f t="shared" si="6"/>
        <v>0.2450980392</v>
      </c>
      <c r="AF59" s="17" t="str">
        <f t="shared" si="11"/>
        <v>0.6138888889</v>
      </c>
      <c r="AG59" s="17" t="s">
        <v>30</v>
      </c>
      <c r="AH59" s="17" t="str">
        <f t="shared" si="56"/>
        <v>Thermal Decomposition, </v>
      </c>
      <c r="AI59" s="17" t="str">
        <f t="shared" si="16"/>
        <v>Thermal Decomposition,corona </v>
      </c>
      <c r="AJ59" s="17" t="str">
        <f t="shared" si="7"/>
        <v>Thermal Decomposition,corona </v>
      </c>
    </row>
    <row r="60" ht="12.75" customHeight="1">
      <c r="A60" s="11">
        <v>58.0</v>
      </c>
      <c r="B60" s="17">
        <v>2.800046135E9</v>
      </c>
      <c r="C60" s="17" t="s">
        <v>82</v>
      </c>
      <c r="D60" s="17" t="s">
        <v>79</v>
      </c>
      <c r="E60" s="19" t="s">
        <v>83</v>
      </c>
      <c r="F60" s="17">
        <v>1988.0</v>
      </c>
      <c r="G60" s="17">
        <v>8.5</v>
      </c>
      <c r="H60" s="16">
        <v>11.305</v>
      </c>
      <c r="I60" s="16">
        <v>15833.8</v>
      </c>
      <c r="J60" s="16">
        <v>67642.235</v>
      </c>
      <c r="K60" s="16">
        <v>75.48</v>
      </c>
      <c r="L60" s="16">
        <v>873.2900000000001</v>
      </c>
      <c r="M60" s="16">
        <v>5.865</v>
      </c>
      <c r="N60" s="16">
        <v>9.0</v>
      </c>
      <c r="O60" s="16">
        <v>3.8249999999999997</v>
      </c>
      <c r="P60" s="16">
        <v>6.0</v>
      </c>
      <c r="Q60" s="17" t="str">
        <f t="shared" si="1"/>
        <v>1.568627451</v>
      </c>
      <c r="R60" s="17" t="str">
        <f t="shared" si="2"/>
        <v>0.5187969925</v>
      </c>
      <c r="S60" s="17" t="str">
        <f t="shared" si="8"/>
        <v>0.425</v>
      </c>
      <c r="T60" s="17" t="s">
        <v>30</v>
      </c>
      <c r="U60" s="17" t="s">
        <v>31</v>
      </c>
      <c r="V60" s="17" t="str">
        <f t="shared" si="59"/>
        <v>Partial discharge, Normal </v>
      </c>
      <c r="W60" s="17" t="str">
        <f t="shared" si="3"/>
        <v>1.568627451</v>
      </c>
      <c r="X60" s="17" t="str">
        <f t="shared" si="33"/>
        <v>0.5187969925</v>
      </c>
      <c r="Y60" s="17" t="str">
        <f t="shared" si="9"/>
        <v>0.425</v>
      </c>
      <c r="Z60" s="17" t="str">
        <f t="shared" ref="Z60:Z61" si="60">IF(W60&gt;1,"Discharge of Low Energy,  ",IF(W60&lt;0.1,"Thermal  Fault&gt; 300c and&lt;700 c"))</f>
        <v>Discharge of Low Energy,  </v>
      </c>
      <c r="AA60" s="17" t="s">
        <v>34</v>
      </c>
      <c r="AB60" s="17" t="s">
        <v>35</v>
      </c>
      <c r="AC60" s="17" t="str">
        <f t="shared" si="5"/>
        <v>0.5187969925</v>
      </c>
      <c r="AD60" s="18" t="str">
        <f t="shared" si="10"/>
        <v>1.568627451</v>
      </c>
      <c r="AE60" s="17" t="str">
        <f t="shared" si="6"/>
        <v>1.023017903</v>
      </c>
      <c r="AF60" s="17" t="str">
        <f t="shared" si="11"/>
        <v>1.5</v>
      </c>
      <c r="AG60" s="17" t="s">
        <v>30</v>
      </c>
      <c r="AH60" s="17" t="str">
        <f t="shared" si="56"/>
        <v>Arching</v>
      </c>
      <c r="AI60" s="17" t="str">
        <f t="shared" si="16"/>
        <v>Arching</v>
      </c>
      <c r="AJ60" s="17" t="str">
        <f t="shared" si="7"/>
        <v>Thermal Decomposition,corona </v>
      </c>
    </row>
    <row r="61" ht="12.75" customHeight="1">
      <c r="A61" s="11">
        <v>59.0</v>
      </c>
      <c r="B61" s="17">
        <v>2.800046136E9</v>
      </c>
      <c r="C61" s="17" t="s">
        <v>82</v>
      </c>
      <c r="D61" s="17" t="s">
        <v>79</v>
      </c>
      <c r="E61" s="19" t="s">
        <v>83</v>
      </c>
      <c r="F61" s="17">
        <v>1988.0</v>
      </c>
      <c r="G61" s="17">
        <v>8.2</v>
      </c>
      <c r="H61" s="16">
        <v>6.97</v>
      </c>
      <c r="I61" s="16">
        <v>14974.511999999999</v>
      </c>
      <c r="J61" s="16">
        <v>64423.464</v>
      </c>
      <c r="K61" s="16">
        <v>177.20199999999997</v>
      </c>
      <c r="L61" s="16">
        <v>1816.2179999999998</v>
      </c>
      <c r="M61" s="16">
        <v>8.0</v>
      </c>
      <c r="N61" s="16">
        <v>9.0</v>
      </c>
      <c r="O61" s="16">
        <v>6.0</v>
      </c>
      <c r="P61" s="16">
        <v>7.0</v>
      </c>
      <c r="Q61" s="17" t="str">
        <f t="shared" si="1"/>
        <v>1.166666667</v>
      </c>
      <c r="R61" s="17" t="str">
        <f t="shared" si="2"/>
        <v>1.147776184</v>
      </c>
      <c r="S61" s="17" t="str">
        <f t="shared" si="8"/>
        <v>0.6666666667</v>
      </c>
      <c r="T61" s="17" t="s">
        <v>30</v>
      </c>
      <c r="U61" s="17" t="str">
        <f t="shared" ref="U61:U62" si="61">IF(R61&lt;0.1, "Partial discharge", "Low temperature thermal ")</f>
        <v>Low temperature thermal </v>
      </c>
      <c r="V61" s="17" t="str">
        <f t="shared" si="59"/>
        <v>Partial discharge, Normal </v>
      </c>
      <c r="W61" s="17" t="str">
        <f t="shared" si="3"/>
        <v>1.166666667</v>
      </c>
      <c r="X61" s="17" t="str">
        <f t="shared" si="33"/>
        <v>1.147776184</v>
      </c>
      <c r="Y61" s="17" t="str">
        <f t="shared" si="9"/>
        <v>0.6666666667</v>
      </c>
      <c r="Z61" s="17" t="str">
        <f t="shared" si="60"/>
        <v>Discharge of Low Energy,  </v>
      </c>
      <c r="AA61" s="17" t="str">
        <f>IF(X61&lt;0.1,"Partial Discharges, ",IF(X61&gt;1,"Thermal  Fault &gt;300c and&lt;700 and &gt;700 c"))</f>
        <v>Thermal  Fault &gt;300c and&lt;700 and &gt;700 c</v>
      </c>
      <c r="AB61" s="17" t="s">
        <v>35</v>
      </c>
      <c r="AC61" s="17" t="str">
        <f t="shared" si="5"/>
        <v>1.147776184</v>
      </c>
      <c r="AD61" s="18" t="str">
        <f t="shared" si="10"/>
        <v>1.166666667</v>
      </c>
      <c r="AE61" s="17" t="str">
        <f t="shared" si="6"/>
        <v>0.875</v>
      </c>
      <c r="AF61" s="17" t="str">
        <f t="shared" si="11"/>
        <v>1.285714286</v>
      </c>
      <c r="AG61" s="17" t="str">
        <f>IF(AC61&gt;1,"Thermal Decomposition, ",IF(AC61&lt;0.1,"Corona,Arching"))</f>
        <v>Thermal Decomposition, </v>
      </c>
      <c r="AH61" s="17" t="str">
        <f t="shared" si="56"/>
        <v>Arching</v>
      </c>
      <c r="AI61" s="17" t="str">
        <f t="shared" si="16"/>
        <v>Arching</v>
      </c>
      <c r="AJ61" s="17" t="str">
        <f t="shared" si="7"/>
        <v>Thermal Decomposition,corona </v>
      </c>
    </row>
    <row r="62" ht="12.75" customHeight="1">
      <c r="A62" s="11">
        <v>60.0</v>
      </c>
      <c r="B62" s="19">
        <v>2.800057667E9</v>
      </c>
      <c r="C62" s="19" t="s">
        <v>84</v>
      </c>
      <c r="D62" s="21" t="s">
        <v>85</v>
      </c>
      <c r="E62" s="19" t="s">
        <v>83</v>
      </c>
      <c r="F62" s="19">
        <v>1998.0</v>
      </c>
      <c r="G62" s="17">
        <v>8.4</v>
      </c>
      <c r="H62" s="16">
        <v>15.959999999999999</v>
      </c>
      <c r="I62" s="16">
        <v>15142.259999999998</v>
      </c>
      <c r="J62" s="16">
        <v>64792.39199999999</v>
      </c>
      <c r="K62" s="16">
        <v>261.072</v>
      </c>
      <c r="L62" s="16">
        <v>2690.016</v>
      </c>
      <c r="M62" s="16">
        <v>6.048</v>
      </c>
      <c r="N62" s="16">
        <v>9.66</v>
      </c>
      <c r="O62" s="16">
        <v>5.796</v>
      </c>
      <c r="P62" s="16">
        <v>5.0</v>
      </c>
      <c r="Q62" s="17" t="str">
        <f t="shared" si="1"/>
        <v>0.8626639061</v>
      </c>
      <c r="R62" s="17" t="str">
        <f t="shared" si="2"/>
        <v>0.3789473684</v>
      </c>
      <c r="S62" s="17" t="str">
        <f t="shared" si="8"/>
        <v>0.6</v>
      </c>
      <c r="T62" s="17" t="str">
        <f>IF(Q62&lt;1,"Partial discharge,Low Temprature thermal fault,")</f>
        <v>Partial discharge,Low Temprature thermal fault,</v>
      </c>
      <c r="U62" s="17" t="str">
        <f t="shared" si="61"/>
        <v>Low temperature thermal </v>
      </c>
      <c r="V62" s="17" t="str">
        <f t="shared" si="59"/>
        <v>Partial discharge, Normal </v>
      </c>
      <c r="W62" s="17" t="str">
        <f t="shared" si="3"/>
        <v>0.8626639061</v>
      </c>
      <c r="X62" s="17" t="str">
        <f t="shared" si="33"/>
        <v>0.3789473684</v>
      </c>
      <c r="Y62" s="17" t="str">
        <f t="shared" si="9"/>
        <v>0.6</v>
      </c>
      <c r="Z62" s="17" t="s">
        <v>34</v>
      </c>
      <c r="AA62" s="17" t="s">
        <v>34</v>
      </c>
      <c r="AB62" s="17" t="s">
        <v>35</v>
      </c>
      <c r="AC62" s="17" t="str">
        <f t="shared" si="5"/>
        <v>0.3789473684</v>
      </c>
      <c r="AD62" s="18" t="str">
        <f t="shared" si="10"/>
        <v>0.8626639061</v>
      </c>
      <c r="AE62" s="17" t="str">
        <f t="shared" si="6"/>
        <v>0.8267195767</v>
      </c>
      <c r="AF62" s="17" t="str">
        <f t="shared" si="11"/>
        <v>1.932</v>
      </c>
      <c r="AG62" s="17" t="s">
        <v>30</v>
      </c>
      <c r="AH62" s="17" t="str">
        <f t="shared" si="56"/>
        <v>Arching</v>
      </c>
      <c r="AI62" s="17" t="str">
        <f t="shared" si="16"/>
        <v>Arching</v>
      </c>
      <c r="AJ62" s="17" t="str">
        <f t="shared" si="7"/>
        <v>Thermal Decomposition,corona </v>
      </c>
    </row>
    <row r="63" ht="12.75" customHeight="1">
      <c r="A63" s="11">
        <v>61.0</v>
      </c>
      <c r="B63" s="19" t="s">
        <v>86</v>
      </c>
      <c r="C63" s="19" t="s">
        <v>84</v>
      </c>
      <c r="D63" s="21" t="s">
        <v>85</v>
      </c>
      <c r="E63" s="19" t="s">
        <v>29</v>
      </c>
      <c r="F63" s="19">
        <v>2004.0</v>
      </c>
      <c r="G63" s="17">
        <v>8.2</v>
      </c>
      <c r="H63" s="16">
        <v>5.904</v>
      </c>
      <c r="I63" s="16">
        <v>15859.291999999996</v>
      </c>
      <c r="J63" s="16">
        <v>63578.454</v>
      </c>
      <c r="K63" s="16">
        <v>191.79799999999997</v>
      </c>
      <c r="L63" s="16">
        <v>1826.7139999999997</v>
      </c>
      <c r="M63" s="16">
        <v>4.346</v>
      </c>
      <c r="N63" s="16">
        <v>2.7879999999999994</v>
      </c>
      <c r="O63" s="16">
        <v>9.0</v>
      </c>
      <c r="P63" s="16">
        <v>13.0</v>
      </c>
      <c r="Q63" s="17" t="str">
        <f t="shared" si="1"/>
        <v>1.444444444</v>
      </c>
      <c r="R63" s="17" t="str">
        <f t="shared" si="2"/>
        <v>0.7361111111</v>
      </c>
      <c r="S63" s="17" t="str">
        <f t="shared" si="8"/>
        <v>3.228120516</v>
      </c>
      <c r="T63" s="17" t="s">
        <v>30</v>
      </c>
      <c r="U63" s="17" t="s">
        <v>31</v>
      </c>
      <c r="V63" s="17" t="str">
        <f t="shared" si="59"/>
        <v>Arching,Thermal  Fault &gt; 700 c</v>
      </c>
      <c r="W63" s="17" t="str">
        <f t="shared" si="3"/>
        <v>1.444444444</v>
      </c>
      <c r="X63" s="17" t="str">
        <f t="shared" si="33"/>
        <v>0.7361111111</v>
      </c>
      <c r="Y63" s="17" t="str">
        <f t="shared" si="9"/>
        <v>3.228120516</v>
      </c>
      <c r="Z63" s="17" t="str">
        <f t="shared" ref="Z63:Z66" si="62">IF(W63&gt;1,"Discharge of Low Energy,  ",IF(W63&lt;0.1,"Thermal  Fault&gt; 300c and&lt;700 c"))</f>
        <v>Discharge of Low Energy,  </v>
      </c>
      <c r="AA63" s="17" t="s">
        <v>34</v>
      </c>
      <c r="AB63" s="17" t="str">
        <f>IF(Y63&lt;0.2,"Partial Discharges, ",IF(Y63&gt;1,"Thermal  Fault  &gt;700 c"))</f>
        <v>Thermal  Fault  &gt;700 c</v>
      </c>
      <c r="AC63" s="17" t="str">
        <f t="shared" si="5"/>
        <v>0.7361111111</v>
      </c>
      <c r="AD63" s="18" t="str">
        <f t="shared" si="10"/>
        <v>1.444444444</v>
      </c>
      <c r="AE63" s="17" t="str">
        <f t="shared" si="6"/>
        <v>2.991256328</v>
      </c>
      <c r="AF63" s="17" t="str">
        <f t="shared" si="11"/>
        <v>0.2144615385</v>
      </c>
      <c r="AG63" s="17" t="s">
        <v>30</v>
      </c>
      <c r="AH63" s="17" t="str">
        <f t="shared" si="56"/>
        <v>Arching</v>
      </c>
      <c r="AI63" s="17" t="str">
        <f t="shared" si="16"/>
        <v>Arching</v>
      </c>
      <c r="AJ63" s="17" t="str">
        <f t="shared" si="7"/>
        <v>Arching</v>
      </c>
    </row>
    <row r="64" ht="12.75" customHeight="1">
      <c r="A64" s="11">
        <v>62.0</v>
      </c>
      <c r="B64" s="19" t="s">
        <v>87</v>
      </c>
      <c r="C64" s="19" t="s">
        <v>82</v>
      </c>
      <c r="D64" s="21" t="s">
        <v>88</v>
      </c>
      <c r="E64" s="19" t="s">
        <v>83</v>
      </c>
      <c r="F64" s="17">
        <v>1989.0</v>
      </c>
      <c r="G64" s="17">
        <v>8.4</v>
      </c>
      <c r="H64" s="16">
        <v>1.596</v>
      </c>
      <c r="I64" s="16">
        <v>15757.308</v>
      </c>
      <c r="J64" s="16">
        <v>65320.92000000001</v>
      </c>
      <c r="K64" s="16">
        <v>145.99200000000002</v>
      </c>
      <c r="L64" s="16">
        <v>1763.3280000000002</v>
      </c>
      <c r="M64" s="16">
        <v>5.0</v>
      </c>
      <c r="N64" s="16">
        <v>9.0</v>
      </c>
      <c r="O64" s="16">
        <v>8.0</v>
      </c>
      <c r="P64" s="16">
        <v>14.0</v>
      </c>
      <c r="Q64" s="17" t="str">
        <f t="shared" si="1"/>
        <v>1.75</v>
      </c>
      <c r="R64" s="17" t="str">
        <f t="shared" si="2"/>
        <v>3.13283208</v>
      </c>
      <c r="S64" s="17" t="str">
        <f t="shared" si="8"/>
        <v>0.8888888889</v>
      </c>
      <c r="T64" s="17" t="s">
        <v>30</v>
      </c>
      <c r="U64" s="17" t="str">
        <f>IF(R64&lt;0.1, "Partial discharge", "Low temperature thermal ")</f>
        <v>Low temperature thermal </v>
      </c>
      <c r="V64" s="17" t="str">
        <f t="shared" si="59"/>
        <v>Partial discharge, Normal </v>
      </c>
      <c r="W64" s="17" t="str">
        <f t="shared" si="3"/>
        <v>1.75</v>
      </c>
      <c r="X64" s="17" t="str">
        <f t="shared" si="33"/>
        <v>3.13283208</v>
      </c>
      <c r="Y64" s="17" t="str">
        <f t="shared" si="9"/>
        <v>0.8888888889</v>
      </c>
      <c r="Z64" s="17" t="str">
        <f t="shared" si="62"/>
        <v>Discharge of Low Energy,  </v>
      </c>
      <c r="AA64" s="17" t="str">
        <f t="shared" ref="AA64:AA65" si="63">IF(X64&lt;0.1,"Partial Discharges, ",IF(X64&gt;1,"Thermal  Fault &gt;300c and&lt;700 and &gt;700 c"))</f>
        <v>Thermal  Fault &gt;300c and&lt;700 and &gt;700 c</v>
      </c>
      <c r="AB64" s="17" t="s">
        <v>35</v>
      </c>
      <c r="AC64" s="17" t="str">
        <f t="shared" si="5"/>
        <v>3.13283208</v>
      </c>
      <c r="AD64" s="18" t="str">
        <f t="shared" si="10"/>
        <v>1.75</v>
      </c>
      <c r="AE64" s="17" t="str">
        <f t="shared" si="6"/>
        <v>2.8</v>
      </c>
      <c r="AF64" s="17" t="str">
        <f t="shared" si="11"/>
        <v>0.6428571429</v>
      </c>
      <c r="AG64" s="17" t="str">
        <f t="shared" ref="AG64:AG65" si="64">IF(AC64&gt;1,"Thermal Decomposition, ",IF(AC64&lt;0.1,"Corona,Arching"))</f>
        <v>Thermal Decomposition, </v>
      </c>
      <c r="AH64" s="17" t="str">
        <f t="shared" si="56"/>
        <v>Arching</v>
      </c>
      <c r="AI64" s="17" t="str">
        <f t="shared" si="16"/>
        <v>Arching</v>
      </c>
      <c r="AJ64" s="17" t="str">
        <f t="shared" si="7"/>
        <v>Thermal Decomposition,corona </v>
      </c>
    </row>
    <row r="65" ht="12.75" customHeight="1">
      <c r="A65" s="11">
        <v>63.0</v>
      </c>
      <c r="B65" s="19">
        <v>2009726.0</v>
      </c>
      <c r="C65" s="19" t="s">
        <v>89</v>
      </c>
      <c r="D65" s="19" t="s">
        <v>90</v>
      </c>
      <c r="E65" s="19" t="s">
        <v>91</v>
      </c>
      <c r="F65" s="17">
        <v>1996.0</v>
      </c>
      <c r="G65" s="17">
        <v>8.5</v>
      </c>
      <c r="H65" s="16">
        <v>3.5699999999999994</v>
      </c>
      <c r="I65" s="16">
        <v>15349.64</v>
      </c>
      <c r="J65" s="16">
        <v>66573.105</v>
      </c>
      <c r="K65" s="16">
        <v>208.16500000000002</v>
      </c>
      <c r="L65" s="16">
        <v>2072.555</v>
      </c>
      <c r="M65" s="16">
        <v>9.180000000000001</v>
      </c>
      <c r="N65" s="16">
        <v>2.635</v>
      </c>
      <c r="O65" s="16">
        <v>7.0</v>
      </c>
      <c r="P65" s="16">
        <v>8.0</v>
      </c>
      <c r="Q65" s="17" t="str">
        <f t="shared" si="1"/>
        <v>1.142857143</v>
      </c>
      <c r="R65" s="17" t="str">
        <f t="shared" si="2"/>
        <v>2.571428571</v>
      </c>
      <c r="S65" s="17" t="str">
        <f t="shared" si="8"/>
        <v>2.65654649</v>
      </c>
      <c r="T65" s="17" t="s">
        <v>30</v>
      </c>
      <c r="U65" s="17" t="str">
        <f>IF(R65&gt;1,"Thermal Fault &lt;700c, thermal fault &gt;700c ")</f>
        <v>Thermal Fault &lt;700c, thermal fault &gt;700c </v>
      </c>
      <c r="V65" s="17" t="s">
        <v>37</v>
      </c>
      <c r="W65" s="17" t="str">
        <f t="shared" si="3"/>
        <v>1.142857143</v>
      </c>
      <c r="X65" s="17" t="str">
        <f t="shared" si="33"/>
        <v>2.571428571</v>
      </c>
      <c r="Y65" s="17" t="str">
        <f t="shared" si="9"/>
        <v>2.65654649</v>
      </c>
      <c r="Z65" s="17" t="str">
        <f t="shared" si="62"/>
        <v>Discharge of Low Energy,  </v>
      </c>
      <c r="AA65" s="17" t="str">
        <f t="shared" si="63"/>
        <v>Thermal  Fault &gt;300c and&lt;700 and &gt;700 c</v>
      </c>
      <c r="AB65" s="17" t="str">
        <f>IF(Y65&lt;0.2,"Partial Discharges, ",IF(Y65&gt;1,"Thermal  Fault  &gt;700 c"))</f>
        <v>Thermal  Fault  &gt;700 c</v>
      </c>
      <c r="AC65" s="17" t="str">
        <f t="shared" si="5"/>
        <v>2.571428571</v>
      </c>
      <c r="AD65" s="18" t="str">
        <f t="shared" si="10"/>
        <v>1.142857143</v>
      </c>
      <c r="AE65" s="17" t="str">
        <f t="shared" si="6"/>
        <v>0.871459695</v>
      </c>
      <c r="AF65" s="17" t="str">
        <f t="shared" si="11"/>
        <v>0.329375</v>
      </c>
      <c r="AG65" s="17" t="str">
        <f t="shared" si="64"/>
        <v>Thermal Decomposition, </v>
      </c>
      <c r="AH65" s="17" t="str">
        <f t="shared" si="56"/>
        <v>Arching</v>
      </c>
      <c r="AI65" s="17" t="str">
        <f t="shared" si="16"/>
        <v>Arching</v>
      </c>
      <c r="AJ65" s="17" t="str">
        <f t="shared" si="7"/>
        <v>Arching</v>
      </c>
    </row>
    <row r="66" ht="12.75" customHeight="1">
      <c r="A66" s="11">
        <v>64.0</v>
      </c>
      <c r="B66" s="19" t="s">
        <v>92</v>
      </c>
      <c r="C66" s="19" t="s">
        <v>89</v>
      </c>
      <c r="D66" s="19" t="s">
        <v>90</v>
      </c>
      <c r="E66" s="19" t="s">
        <v>93</v>
      </c>
      <c r="F66" s="17">
        <v>2011.0</v>
      </c>
      <c r="G66" s="17">
        <v>8.5</v>
      </c>
      <c r="H66" s="16">
        <v>14.365</v>
      </c>
      <c r="I66" s="16">
        <v>15771.664999999999</v>
      </c>
      <c r="J66" s="16">
        <v>66289.375</v>
      </c>
      <c r="K66" s="16">
        <v>170.34</v>
      </c>
      <c r="L66" s="16">
        <v>2155.4300000000003</v>
      </c>
      <c r="M66" s="16">
        <v>4.165</v>
      </c>
      <c r="N66" s="16">
        <v>6.0</v>
      </c>
      <c r="O66" s="16">
        <v>6.0</v>
      </c>
      <c r="P66" s="16">
        <v>10.0</v>
      </c>
      <c r="Q66" s="17" t="str">
        <f t="shared" si="1"/>
        <v>1.666666667</v>
      </c>
      <c r="R66" s="17" t="str">
        <f t="shared" si="2"/>
        <v>0.2899408284</v>
      </c>
      <c r="S66" s="17" t="str">
        <f t="shared" si="8"/>
        <v>1</v>
      </c>
      <c r="T66" s="17" t="s">
        <v>30</v>
      </c>
      <c r="U66" s="17" t="s">
        <v>31</v>
      </c>
      <c r="V66" s="17" t="s">
        <v>37</v>
      </c>
      <c r="W66" s="17" t="str">
        <f t="shared" si="3"/>
        <v>1.666666667</v>
      </c>
      <c r="X66" s="17" t="str">
        <f t="shared" si="33"/>
        <v>0.2899408284</v>
      </c>
      <c r="Y66" s="17" t="str">
        <f t="shared" si="9"/>
        <v>1</v>
      </c>
      <c r="Z66" s="17" t="str">
        <f t="shared" si="62"/>
        <v>Discharge of Low Energy,  </v>
      </c>
      <c r="AA66" s="17" t="s">
        <v>34</v>
      </c>
      <c r="AB66" s="17" t="s">
        <v>35</v>
      </c>
      <c r="AC66" s="17" t="str">
        <f t="shared" si="5"/>
        <v>0.2899408284</v>
      </c>
      <c r="AD66" s="18" t="str">
        <f t="shared" si="10"/>
        <v>1.666666667</v>
      </c>
      <c r="AE66" s="17" t="str">
        <f t="shared" si="6"/>
        <v>2.400960384</v>
      </c>
      <c r="AF66" s="17" t="str">
        <f t="shared" si="11"/>
        <v>0.6</v>
      </c>
      <c r="AG66" s="17" t="s">
        <v>30</v>
      </c>
      <c r="AH66" s="17" t="str">
        <f t="shared" si="56"/>
        <v>Arching</v>
      </c>
      <c r="AI66" s="17" t="str">
        <f t="shared" si="16"/>
        <v>Arching</v>
      </c>
      <c r="AJ66" s="17" t="str">
        <f t="shared" si="7"/>
        <v>Thermal Decomposition,corona </v>
      </c>
    </row>
    <row r="67" ht="12.75" customHeight="1">
      <c r="A67" s="11">
        <v>65.0</v>
      </c>
      <c r="B67" s="19">
        <v>2.80049973E8</v>
      </c>
      <c r="C67" s="19" t="s">
        <v>82</v>
      </c>
      <c r="D67" s="19" t="s">
        <v>94</v>
      </c>
      <c r="E67" s="19" t="s">
        <v>83</v>
      </c>
      <c r="F67" s="17">
        <v>1989.0</v>
      </c>
      <c r="G67" s="17">
        <v>8.8</v>
      </c>
      <c r="H67" s="16">
        <v>6.952000000000001</v>
      </c>
      <c r="I67" s="16">
        <v>16446.32</v>
      </c>
      <c r="J67" s="16">
        <v>68836.152</v>
      </c>
      <c r="K67" s="16">
        <v>133.40800000000002</v>
      </c>
      <c r="L67" s="16">
        <v>1649.8240000000003</v>
      </c>
      <c r="M67" s="16">
        <v>8.008000000000001</v>
      </c>
      <c r="N67" s="16">
        <v>8.0</v>
      </c>
      <c r="O67" s="16">
        <v>8.0</v>
      </c>
      <c r="P67" s="16">
        <v>6.0</v>
      </c>
      <c r="Q67" s="17" t="str">
        <f t="shared" si="1"/>
        <v>0.75</v>
      </c>
      <c r="R67" s="17" t="str">
        <f t="shared" si="2"/>
        <v>1.151898734</v>
      </c>
      <c r="S67" s="17" t="str">
        <f t="shared" si="8"/>
        <v>1</v>
      </c>
      <c r="T67" s="17" t="str">
        <f>IF(Q67&lt;1,"Partial discharge,Low Temprature thermal fault,")</f>
        <v>Partial discharge,Low Temprature thermal fault,</v>
      </c>
      <c r="U67" s="17" t="str">
        <f t="shared" ref="U67:U68" si="65">IF(R67&gt;1,"Thermal Fault &lt;700c, thermal fault &gt;700c ")</f>
        <v>Thermal Fault &lt;700c, thermal fault &gt;700c </v>
      </c>
      <c r="V67" s="17" t="s">
        <v>37</v>
      </c>
      <c r="W67" s="17" t="str">
        <f t="shared" si="3"/>
        <v>0.75</v>
      </c>
      <c r="X67" s="17" t="str">
        <f t="shared" si="33"/>
        <v>1.151898734</v>
      </c>
      <c r="Y67" s="17" t="str">
        <f t="shared" si="9"/>
        <v>1</v>
      </c>
      <c r="Z67" s="17" t="s">
        <v>34</v>
      </c>
      <c r="AA67" s="17" t="str">
        <f t="shared" ref="AA67:AA68" si="66">IF(X67&lt;0.1,"Partial Discharges, ",IF(X67&gt;1,"Thermal  Fault &gt;300c and&lt;700 and &gt;700 c"))</f>
        <v>Thermal  Fault &gt;300c and&lt;700 and &gt;700 c</v>
      </c>
      <c r="AB67" s="17" t="s">
        <v>35</v>
      </c>
      <c r="AC67" s="17" t="str">
        <f t="shared" si="5"/>
        <v>1.151898734</v>
      </c>
      <c r="AD67" s="18" t="str">
        <f t="shared" si="10"/>
        <v>0.75</v>
      </c>
      <c r="AE67" s="17" t="str">
        <f t="shared" si="6"/>
        <v>0.7492507493</v>
      </c>
      <c r="AF67" s="17" t="str">
        <f t="shared" si="11"/>
        <v>1.333333333</v>
      </c>
      <c r="AG67" s="17" t="str">
        <f t="shared" ref="AG67:AG68" si="67">IF(AC67&gt;1,"Thermal Decomposition, ",IF(AC67&lt;0.1,"Corona,Arching"))</f>
        <v>Thermal Decomposition, </v>
      </c>
      <c r="AH67" s="17" t="s">
        <v>30</v>
      </c>
      <c r="AI67" s="17" t="str">
        <f t="shared" si="16"/>
        <v>Arching</v>
      </c>
      <c r="AJ67" s="17" t="str">
        <f t="shared" si="7"/>
        <v>Thermal Decomposition,corona </v>
      </c>
    </row>
    <row r="68" ht="12.75" customHeight="1">
      <c r="A68" s="11">
        <v>66.0</v>
      </c>
      <c r="B68" s="19">
        <v>120410.0</v>
      </c>
      <c r="C68" s="19" t="s">
        <v>27</v>
      </c>
      <c r="D68" s="19" t="s">
        <v>94</v>
      </c>
      <c r="E68" s="19" t="s">
        <v>95</v>
      </c>
      <c r="F68" s="17">
        <v>1999.0</v>
      </c>
      <c r="G68" s="17">
        <v>8.5</v>
      </c>
      <c r="H68" s="16">
        <v>1.7849999999999997</v>
      </c>
      <c r="I68" s="16">
        <v>16681.335</v>
      </c>
      <c r="J68" s="16">
        <v>64787.34</v>
      </c>
      <c r="K68" s="16">
        <v>262.99</v>
      </c>
      <c r="L68" s="16">
        <v>2541.585</v>
      </c>
      <c r="M68" s="16">
        <v>6.205</v>
      </c>
      <c r="N68" s="16">
        <v>9.0</v>
      </c>
      <c r="O68" s="16">
        <v>1.9549999999999998</v>
      </c>
      <c r="P68" s="16">
        <v>8.0</v>
      </c>
      <c r="Q68" s="17" t="str">
        <f t="shared" si="1"/>
        <v>4.092071611</v>
      </c>
      <c r="R68" s="17" t="str">
        <f t="shared" si="2"/>
        <v>3.476190476</v>
      </c>
      <c r="S68" s="17" t="str">
        <f t="shared" si="8"/>
        <v>0.2172222222</v>
      </c>
      <c r="T68" s="17" t="s">
        <v>30</v>
      </c>
      <c r="U68" s="17" t="str">
        <f t="shared" si="65"/>
        <v>Thermal Fault &lt;700c, thermal fault &gt;700c </v>
      </c>
      <c r="V68" s="17" t="str">
        <f>IF(S68&lt;1,"Partial discharge, Normal ",IF(S68&gt;3,"Arching,Thermal  Fault &gt; 700 c"))</f>
        <v>Partial discharge, Normal </v>
      </c>
      <c r="W68" s="17" t="str">
        <f t="shared" si="3"/>
        <v>4.092071611</v>
      </c>
      <c r="X68" s="17" t="str">
        <f t="shared" si="33"/>
        <v>3.476190476</v>
      </c>
      <c r="Y68" s="17" t="str">
        <f t="shared" si="9"/>
        <v>0.2172222222</v>
      </c>
      <c r="Z68" s="17" t="str">
        <f>IF(W68&gt;1,"Discharge of Low Energy,  ",IF(W68&lt;0.1,"Thermal  Fault&gt; 300c and&lt;700 c"))</f>
        <v>Discharge of Low Energy,  </v>
      </c>
      <c r="AA68" s="17" t="str">
        <f t="shared" si="66"/>
        <v>Thermal  Fault &gt;300c and&lt;700 and &gt;700 c</v>
      </c>
      <c r="AB68" s="17" t="s">
        <v>35</v>
      </c>
      <c r="AC68" s="17" t="str">
        <f t="shared" si="5"/>
        <v>3.476190476</v>
      </c>
      <c r="AD68" s="18" t="str">
        <f t="shared" si="10"/>
        <v>4.092071611</v>
      </c>
      <c r="AE68" s="17" t="str">
        <f t="shared" si="6"/>
        <v>1.289282836</v>
      </c>
      <c r="AF68" s="17" t="str">
        <f t="shared" si="11"/>
        <v>1.125</v>
      </c>
      <c r="AG68" s="17" t="str">
        <f t="shared" si="67"/>
        <v>Thermal Decomposition, </v>
      </c>
      <c r="AH68" s="17" t="str">
        <f t="shared" ref="AH68:AH283" si="68">IF(AD68&lt;0.75,"Thermal Decomposition, ",IF(AD68&gt;0.75,"Arching"))</f>
        <v>Arching</v>
      </c>
      <c r="AI68" s="17" t="str">
        <f t="shared" si="16"/>
        <v>Arching</v>
      </c>
      <c r="AJ68" s="17" t="str">
        <f t="shared" si="7"/>
        <v>Thermal Decomposition,corona </v>
      </c>
    </row>
    <row r="69" ht="12.75" customHeight="1">
      <c r="A69" s="11">
        <v>67.0</v>
      </c>
      <c r="B69" s="19" t="s">
        <v>96</v>
      </c>
      <c r="C69" s="19" t="s">
        <v>89</v>
      </c>
      <c r="D69" s="19" t="s">
        <v>94</v>
      </c>
      <c r="E69" s="19" t="s">
        <v>97</v>
      </c>
      <c r="F69" s="17">
        <v>1999.0</v>
      </c>
      <c r="G69" s="17">
        <v>8.2</v>
      </c>
      <c r="H69" s="16">
        <v>5.1659999999999995</v>
      </c>
      <c r="I69" s="16">
        <v>16339.319999999998</v>
      </c>
      <c r="J69" s="16">
        <v>63727.44799999999</v>
      </c>
      <c r="K69" s="16">
        <v>93.152</v>
      </c>
      <c r="L69" s="16">
        <v>1151.772</v>
      </c>
      <c r="M69" s="16">
        <v>5.1659999999999995</v>
      </c>
      <c r="N69" s="16">
        <v>4.0</v>
      </c>
      <c r="O69" s="16">
        <v>9.0</v>
      </c>
      <c r="P69" s="16">
        <v>4.0</v>
      </c>
      <c r="Q69" s="17" t="str">
        <f t="shared" si="1"/>
        <v>0.4444444444</v>
      </c>
      <c r="R69" s="17" t="str">
        <f t="shared" si="2"/>
        <v>1</v>
      </c>
      <c r="S69" s="17" t="str">
        <f t="shared" si="8"/>
        <v>2.25</v>
      </c>
      <c r="T69" s="17" t="str">
        <f>IF(Q69&lt;1,"Partial discharge,Low Temprature thermal fault,")</f>
        <v>Partial discharge,Low Temprature thermal fault,</v>
      </c>
      <c r="U69" s="17" t="s">
        <v>31</v>
      </c>
      <c r="V69" s="17" t="s">
        <v>37</v>
      </c>
      <c r="W69" s="17" t="str">
        <f t="shared" si="3"/>
        <v>0.4444444444</v>
      </c>
      <c r="X69" s="17" t="str">
        <f t="shared" si="33"/>
        <v>1</v>
      </c>
      <c r="Y69" s="17" t="str">
        <f t="shared" si="9"/>
        <v>2.25</v>
      </c>
      <c r="Z69" s="17" t="s">
        <v>34</v>
      </c>
      <c r="AA69" s="17" t="s">
        <v>34</v>
      </c>
      <c r="AB69" s="17" t="str">
        <f>IF(Y69&lt;0.2,"Partial Discharges, ",IF(Y69&gt;1,"Thermal  Fault  &gt;700 c"))</f>
        <v>Thermal  Fault  &gt;700 c</v>
      </c>
      <c r="AC69" s="17" t="str">
        <f t="shared" si="5"/>
        <v>1</v>
      </c>
      <c r="AD69" s="18" t="str">
        <f t="shared" si="10"/>
        <v>0.4444444444</v>
      </c>
      <c r="AE69" s="17" t="str">
        <f t="shared" si="6"/>
        <v>0.7742934572</v>
      </c>
      <c r="AF69" s="17" t="str">
        <f t="shared" si="11"/>
        <v>1</v>
      </c>
      <c r="AG69" s="17" t="s">
        <v>30</v>
      </c>
      <c r="AH69" s="17" t="str">
        <f t="shared" si="68"/>
        <v>Thermal Decomposition, </v>
      </c>
      <c r="AI69" s="17" t="str">
        <f t="shared" si="16"/>
        <v>Arching</v>
      </c>
      <c r="AJ69" s="17" t="str">
        <f t="shared" si="7"/>
        <v>Thermal Decomposition,corona </v>
      </c>
    </row>
    <row r="70" ht="12.75" customHeight="1">
      <c r="A70" s="11">
        <v>68.0</v>
      </c>
      <c r="B70" s="19">
        <v>6003936.0</v>
      </c>
      <c r="C70" s="19" t="s">
        <v>89</v>
      </c>
      <c r="D70" s="19" t="s">
        <v>94</v>
      </c>
      <c r="E70" s="19" t="s">
        <v>91</v>
      </c>
      <c r="F70" s="17">
        <v>1975.0</v>
      </c>
      <c r="G70" s="17">
        <v>8.5</v>
      </c>
      <c r="H70" s="16">
        <v>1.7849999999999997</v>
      </c>
      <c r="I70" s="16">
        <v>16039.074999999999</v>
      </c>
      <c r="J70" s="16">
        <v>66231.91500000001</v>
      </c>
      <c r="K70" s="16">
        <v>129.795</v>
      </c>
      <c r="L70" s="16">
        <v>1493.2799999999997</v>
      </c>
      <c r="M70" s="16">
        <v>5.865</v>
      </c>
      <c r="N70" s="16">
        <v>7.5649999999999995</v>
      </c>
      <c r="O70" s="16">
        <v>7.0</v>
      </c>
      <c r="P70" s="16">
        <v>12.0</v>
      </c>
      <c r="Q70" s="17" t="str">
        <f t="shared" si="1"/>
        <v>1.714285714</v>
      </c>
      <c r="R70" s="17" t="str">
        <f t="shared" si="2"/>
        <v>3.285714286</v>
      </c>
      <c r="S70" s="17" t="str">
        <f t="shared" si="8"/>
        <v>0.9253139458</v>
      </c>
      <c r="T70" s="17" t="s">
        <v>30</v>
      </c>
      <c r="U70" s="17" t="str">
        <f t="shared" ref="U70:U71" si="69">IF(R70&gt;1,"Thermal Fault &lt;700c, thermal fault &gt;700c ")</f>
        <v>Thermal Fault &lt;700c, thermal fault &gt;700c </v>
      </c>
      <c r="V70" s="17" t="str">
        <f t="shared" ref="V70:V73" si="70">IF(S70&lt;1,"Partial discharge, Normal ",IF(S70&gt;3,"Arching,Thermal  Fault &gt; 700 c"))</f>
        <v>Partial discharge, Normal </v>
      </c>
      <c r="W70" s="17" t="str">
        <f t="shared" si="3"/>
        <v>1.714285714</v>
      </c>
      <c r="X70" s="17" t="str">
        <f t="shared" si="33"/>
        <v>3.285714286</v>
      </c>
      <c r="Y70" s="17" t="str">
        <f t="shared" si="9"/>
        <v>0.9253139458</v>
      </c>
      <c r="Z70" s="17" t="str">
        <f>IF(W70&gt;1,"Discharge of Low Energy,  ",IF(W70&lt;0.1,"Thermal  Fault&gt; 300c and&lt;700 c"))</f>
        <v>Discharge of Low Energy,  </v>
      </c>
      <c r="AA70" s="17" t="str">
        <f t="shared" ref="AA70:AA71" si="71">IF(X70&lt;0.1,"Partial Discharges, ",IF(X70&gt;1,"Thermal  Fault &gt;300c and&lt;700 and &gt;700 c"))</f>
        <v>Thermal  Fault &gt;300c and&lt;700 and &gt;700 c</v>
      </c>
      <c r="AB70" s="17" t="s">
        <v>35</v>
      </c>
      <c r="AC70" s="17" t="str">
        <f t="shared" si="5"/>
        <v>3.285714286</v>
      </c>
      <c r="AD70" s="18" t="str">
        <f t="shared" si="10"/>
        <v>1.714285714</v>
      </c>
      <c r="AE70" s="17" t="str">
        <f t="shared" si="6"/>
        <v>2.046035806</v>
      </c>
      <c r="AF70" s="17" t="str">
        <f t="shared" si="11"/>
        <v>0.6304166667</v>
      </c>
      <c r="AG70" s="17" t="str">
        <f t="shared" ref="AG70:AG71" si="72">IF(AC70&gt;1,"Thermal Decomposition, ",IF(AC70&lt;0.1,"Corona,Arching"))</f>
        <v>Thermal Decomposition, </v>
      </c>
      <c r="AH70" s="17" t="str">
        <f t="shared" si="68"/>
        <v>Arching</v>
      </c>
      <c r="AI70" s="17" t="str">
        <f t="shared" si="16"/>
        <v>Arching</v>
      </c>
      <c r="AJ70" s="17" t="str">
        <f t="shared" si="7"/>
        <v>Thermal Decomposition,corona </v>
      </c>
    </row>
    <row r="71" ht="12.75" customHeight="1">
      <c r="A71" s="11">
        <v>69.0</v>
      </c>
      <c r="B71" s="19">
        <v>2012614.0</v>
      </c>
      <c r="C71" s="19" t="s">
        <v>89</v>
      </c>
      <c r="D71" s="19" t="s">
        <v>94</v>
      </c>
      <c r="E71" s="19" t="s">
        <v>91</v>
      </c>
      <c r="F71" s="17">
        <v>1999.0</v>
      </c>
      <c r="G71" s="17">
        <v>8.6</v>
      </c>
      <c r="H71" s="16">
        <v>9.373999999999999</v>
      </c>
      <c r="I71" s="16">
        <v>15729.657999999998</v>
      </c>
      <c r="J71" s="16">
        <v>67789.242</v>
      </c>
      <c r="K71" s="16">
        <v>116.44399999999999</v>
      </c>
      <c r="L71" s="16">
        <v>1257.7499999999998</v>
      </c>
      <c r="M71" s="16">
        <v>17.114</v>
      </c>
      <c r="N71" s="16">
        <v>8.0</v>
      </c>
      <c r="O71" s="16">
        <v>26.229999999999997</v>
      </c>
      <c r="P71" s="16">
        <v>14.0</v>
      </c>
      <c r="Q71" s="17" t="str">
        <f t="shared" si="1"/>
        <v>0.5337399924</v>
      </c>
      <c r="R71" s="17" t="str">
        <f t="shared" si="2"/>
        <v>1.825688073</v>
      </c>
      <c r="S71" s="17" t="str">
        <f t="shared" si="8"/>
        <v>3.27875</v>
      </c>
      <c r="T71" s="17" t="str">
        <f t="shared" ref="T71:T72" si="73">IF(Q71&lt;1,"Partial discharge,Low Temprature thermal fault,")</f>
        <v>Partial discharge,Low Temprature thermal fault,</v>
      </c>
      <c r="U71" s="17" t="str">
        <f t="shared" si="69"/>
        <v>Thermal Fault &lt;700c, thermal fault &gt;700c </v>
      </c>
      <c r="V71" s="17" t="str">
        <f t="shared" si="70"/>
        <v>Arching,Thermal  Fault &gt; 700 c</v>
      </c>
      <c r="W71" s="17" t="str">
        <f t="shared" si="3"/>
        <v>0.5337399924</v>
      </c>
      <c r="X71" s="17" t="str">
        <f t="shared" si="33"/>
        <v>1.825688073</v>
      </c>
      <c r="Y71" s="17" t="str">
        <f t="shared" si="9"/>
        <v>3.27875</v>
      </c>
      <c r="Z71" s="17" t="s">
        <v>34</v>
      </c>
      <c r="AA71" s="17" t="str">
        <f t="shared" si="71"/>
        <v>Thermal  Fault &gt;300c and&lt;700 and &gt;700 c</v>
      </c>
      <c r="AB71" s="17" t="str">
        <f>IF(Y71&lt;0.2,"Partial Discharges, ",IF(Y71&gt;1,"Thermal  Fault  &gt;700 c"))</f>
        <v>Thermal  Fault  &gt;700 c</v>
      </c>
      <c r="AC71" s="17" t="str">
        <f t="shared" si="5"/>
        <v>1.825688073</v>
      </c>
      <c r="AD71" s="18" t="str">
        <f t="shared" si="10"/>
        <v>0.5337399924</v>
      </c>
      <c r="AE71" s="17" t="str">
        <f t="shared" si="6"/>
        <v>0.8180437069</v>
      </c>
      <c r="AF71" s="17" t="str">
        <f t="shared" si="11"/>
        <v>0.5714285714</v>
      </c>
      <c r="AG71" s="17" t="str">
        <f t="shared" si="72"/>
        <v>Thermal Decomposition, </v>
      </c>
      <c r="AH71" s="17" t="str">
        <f t="shared" si="68"/>
        <v>Thermal Decomposition, </v>
      </c>
      <c r="AI71" s="17" t="str">
        <f t="shared" si="16"/>
        <v>Arching</v>
      </c>
      <c r="AJ71" s="17" t="str">
        <f t="shared" si="7"/>
        <v>Thermal Decomposition,corona </v>
      </c>
    </row>
    <row r="72" ht="12.75" customHeight="1">
      <c r="A72" s="11">
        <v>70.0</v>
      </c>
      <c r="B72" s="19" t="s">
        <v>98</v>
      </c>
      <c r="C72" s="19" t="s">
        <v>27</v>
      </c>
      <c r="D72" s="19" t="s">
        <v>94</v>
      </c>
      <c r="E72" s="19" t="s">
        <v>93</v>
      </c>
      <c r="F72" s="17">
        <v>2006.0</v>
      </c>
      <c r="G72" s="17">
        <v>8.2</v>
      </c>
      <c r="H72" s="16">
        <v>12.709999999999999</v>
      </c>
      <c r="I72" s="16">
        <v>14969.51</v>
      </c>
      <c r="J72" s="16">
        <v>65471.178</v>
      </c>
      <c r="K72" s="16">
        <v>95.61199999999998</v>
      </c>
      <c r="L72" s="16">
        <v>940.458</v>
      </c>
      <c r="M72" s="16">
        <v>10.0</v>
      </c>
      <c r="N72" s="16">
        <v>11.0</v>
      </c>
      <c r="O72" s="16">
        <v>8.0</v>
      </c>
      <c r="P72" s="16">
        <v>6.0</v>
      </c>
      <c r="Q72" s="17" t="str">
        <f t="shared" si="1"/>
        <v>0.75</v>
      </c>
      <c r="R72" s="17" t="str">
        <f t="shared" si="2"/>
        <v>0.7867820614</v>
      </c>
      <c r="S72" s="17" t="str">
        <f t="shared" si="8"/>
        <v>0.7272727273</v>
      </c>
      <c r="T72" s="17" t="str">
        <f t="shared" si="73"/>
        <v>Partial discharge,Low Temprature thermal fault,</v>
      </c>
      <c r="U72" s="17" t="s">
        <v>31</v>
      </c>
      <c r="V72" s="17" t="str">
        <f t="shared" si="70"/>
        <v>Partial discharge, Normal </v>
      </c>
      <c r="W72" s="17" t="str">
        <f t="shared" si="3"/>
        <v>0.75</v>
      </c>
      <c r="X72" s="17" t="str">
        <f t="shared" si="33"/>
        <v>0.7867820614</v>
      </c>
      <c r="Y72" s="17" t="str">
        <f t="shared" si="9"/>
        <v>0.7272727273</v>
      </c>
      <c r="Z72" s="17" t="s">
        <v>34</v>
      </c>
      <c r="AA72" s="17" t="s">
        <v>34</v>
      </c>
      <c r="AB72" s="17" t="s">
        <v>35</v>
      </c>
      <c r="AC72" s="17" t="str">
        <f t="shared" si="5"/>
        <v>0.7867820614</v>
      </c>
      <c r="AD72" s="18" t="str">
        <f t="shared" si="10"/>
        <v>0.75</v>
      </c>
      <c r="AE72" s="17" t="str">
        <f t="shared" si="6"/>
        <v>0.6</v>
      </c>
      <c r="AF72" s="17" t="str">
        <f t="shared" si="11"/>
        <v>1.833333333</v>
      </c>
      <c r="AG72" s="17" t="s">
        <v>30</v>
      </c>
      <c r="AH72" s="17" t="str">
        <f t="shared" si="68"/>
        <v>FALSE</v>
      </c>
      <c r="AI72" s="17" t="str">
        <f t="shared" si="16"/>
        <v>Arching</v>
      </c>
      <c r="AJ72" s="17" t="str">
        <f t="shared" si="7"/>
        <v>Thermal Decomposition,corona </v>
      </c>
    </row>
    <row r="73" ht="12.75" customHeight="1">
      <c r="A73" s="11">
        <v>71.0</v>
      </c>
      <c r="B73" s="19">
        <v>2010654.0</v>
      </c>
      <c r="C73" s="19" t="s">
        <v>27</v>
      </c>
      <c r="D73" s="19" t="s">
        <v>94</v>
      </c>
      <c r="E73" s="19" t="s">
        <v>91</v>
      </c>
      <c r="F73" s="17">
        <v>1997.0</v>
      </c>
      <c r="G73" s="17">
        <v>8.8</v>
      </c>
      <c r="H73" s="16">
        <v>1.848</v>
      </c>
      <c r="I73" s="16">
        <v>16360.608000000002</v>
      </c>
      <c r="J73" s="16">
        <v>68880.856</v>
      </c>
      <c r="K73" s="16">
        <v>139.744</v>
      </c>
      <c r="L73" s="16">
        <v>1453.584</v>
      </c>
      <c r="M73" s="16">
        <v>5.5440000000000005</v>
      </c>
      <c r="N73" s="16">
        <v>10.0</v>
      </c>
      <c r="O73" s="16">
        <v>3.7840000000000007</v>
      </c>
      <c r="P73" s="16">
        <v>8.0</v>
      </c>
      <c r="Q73" s="17" t="str">
        <f t="shared" si="1"/>
        <v>2.114164905</v>
      </c>
      <c r="R73" s="17" t="str">
        <f t="shared" si="2"/>
        <v>3</v>
      </c>
      <c r="S73" s="17" t="str">
        <f t="shared" si="8"/>
        <v>0.3784</v>
      </c>
      <c r="T73" s="17" t="s">
        <v>30</v>
      </c>
      <c r="U73" s="17" t="str">
        <f t="shared" ref="U73:U76" si="74">IF(R73&gt;1,"Thermal Fault &lt;700c, thermal fault &gt;700c ")</f>
        <v>Thermal Fault &lt;700c, thermal fault &gt;700c </v>
      </c>
      <c r="V73" s="17" t="str">
        <f t="shared" si="70"/>
        <v>Partial discharge, Normal </v>
      </c>
      <c r="W73" s="17" t="str">
        <f t="shared" si="3"/>
        <v>2.114164905</v>
      </c>
      <c r="X73" s="17" t="str">
        <f t="shared" si="33"/>
        <v>3</v>
      </c>
      <c r="Y73" s="17" t="str">
        <f t="shared" si="9"/>
        <v>0.3784</v>
      </c>
      <c r="Z73" s="17" t="str">
        <f>IF(W73&gt;1,"Discharge of Low Energy,  ",IF(W73&lt;0.1,"Thermal  Fault&gt; 300c and&lt;700 c"))</f>
        <v>Discharge of Low Energy,  </v>
      </c>
      <c r="AA73" s="17" t="str">
        <f t="shared" ref="AA73:AA76" si="75">IF(X73&lt;0.1,"Partial Discharges, ",IF(X73&gt;1,"Thermal  Fault &gt;300c and&lt;700 and &gt;700 c"))</f>
        <v>Thermal  Fault &gt;300c and&lt;700 and &gt;700 c</v>
      </c>
      <c r="AB73" s="17" t="s">
        <v>35</v>
      </c>
      <c r="AC73" s="17" t="str">
        <f t="shared" si="5"/>
        <v>3</v>
      </c>
      <c r="AD73" s="18" t="str">
        <f t="shared" si="10"/>
        <v>2.114164905</v>
      </c>
      <c r="AE73" s="17" t="str">
        <f t="shared" si="6"/>
        <v>1.443001443</v>
      </c>
      <c r="AF73" s="17" t="str">
        <f t="shared" si="11"/>
        <v>1.25</v>
      </c>
      <c r="AG73" s="17" t="str">
        <f t="shared" ref="AG73:AG76" si="76">IF(AC73&gt;1,"Thermal Decomposition, ",IF(AC73&lt;0.1,"Corona,Arching"))</f>
        <v>Thermal Decomposition, </v>
      </c>
      <c r="AH73" s="17" t="str">
        <f t="shared" si="68"/>
        <v>Arching</v>
      </c>
      <c r="AI73" s="17" t="str">
        <f t="shared" si="16"/>
        <v>Arching</v>
      </c>
      <c r="AJ73" s="17" t="str">
        <f t="shared" si="7"/>
        <v>Thermal Decomposition,corona </v>
      </c>
    </row>
    <row r="74" ht="12.75" customHeight="1">
      <c r="A74" s="11">
        <v>72.0</v>
      </c>
      <c r="B74" s="19">
        <v>2010655.0</v>
      </c>
      <c r="C74" s="19" t="s">
        <v>27</v>
      </c>
      <c r="D74" s="19" t="s">
        <v>94</v>
      </c>
      <c r="E74" s="19" t="s">
        <v>91</v>
      </c>
      <c r="F74" s="17">
        <v>1997.0</v>
      </c>
      <c r="G74" s="17">
        <v>8.2</v>
      </c>
      <c r="H74" s="16">
        <v>7.625999999999998</v>
      </c>
      <c r="I74" s="16">
        <v>15475.942000000001</v>
      </c>
      <c r="J74" s="16">
        <v>64339.168</v>
      </c>
      <c r="K74" s="16">
        <v>145.63199999999998</v>
      </c>
      <c r="L74" s="16">
        <v>1579.894</v>
      </c>
      <c r="M74" s="16">
        <v>7.871999999999998</v>
      </c>
      <c r="N74" s="16">
        <v>3.034</v>
      </c>
      <c r="O74" s="16">
        <v>9.0</v>
      </c>
      <c r="P74" s="16">
        <v>5.0</v>
      </c>
      <c r="Q74" s="17" t="str">
        <f t="shared" si="1"/>
        <v>0.5555555556</v>
      </c>
      <c r="R74" s="17" t="str">
        <f t="shared" si="2"/>
        <v>1.032258065</v>
      </c>
      <c r="S74" s="17" t="str">
        <f t="shared" si="8"/>
        <v>2.966381015</v>
      </c>
      <c r="T74" s="17" t="str">
        <f>IF(Q74&lt;1,"Partial discharge,Low Temprature thermal fault,")</f>
        <v>Partial discharge,Low Temprature thermal fault,</v>
      </c>
      <c r="U74" s="17" t="str">
        <f t="shared" si="74"/>
        <v>Thermal Fault &lt;700c, thermal fault &gt;700c </v>
      </c>
      <c r="V74" s="17" t="s">
        <v>37</v>
      </c>
      <c r="W74" s="17" t="str">
        <f t="shared" si="3"/>
        <v>0.5555555556</v>
      </c>
      <c r="X74" s="17" t="str">
        <f t="shared" si="33"/>
        <v>1.032258065</v>
      </c>
      <c r="Y74" s="17" t="str">
        <f t="shared" si="9"/>
        <v>2.966381015</v>
      </c>
      <c r="Z74" s="17" t="s">
        <v>34</v>
      </c>
      <c r="AA74" s="17" t="str">
        <f t="shared" si="75"/>
        <v>Thermal  Fault &gt;300c and&lt;700 and &gt;700 c</v>
      </c>
      <c r="AB74" s="17" t="str">
        <f>IF(Y74&lt;0.2,"Partial Discharges, ",IF(Y74&gt;1,"Thermal  Fault  &gt;700 c"))</f>
        <v>Thermal  Fault  &gt;700 c</v>
      </c>
      <c r="AC74" s="17" t="str">
        <f t="shared" si="5"/>
        <v>1.032258065</v>
      </c>
      <c r="AD74" s="18" t="str">
        <f t="shared" si="10"/>
        <v>0.5555555556</v>
      </c>
      <c r="AE74" s="17" t="str">
        <f t="shared" si="6"/>
        <v>0.6351626016</v>
      </c>
      <c r="AF74" s="17" t="str">
        <f t="shared" si="11"/>
        <v>0.6068</v>
      </c>
      <c r="AG74" s="17" t="str">
        <f t="shared" si="76"/>
        <v>Thermal Decomposition, </v>
      </c>
      <c r="AH74" s="17" t="str">
        <f t="shared" si="68"/>
        <v>Thermal Decomposition, </v>
      </c>
      <c r="AI74" s="17" t="str">
        <f t="shared" si="16"/>
        <v>Arching</v>
      </c>
      <c r="AJ74" s="17" t="str">
        <f t="shared" si="7"/>
        <v>Thermal Decomposition,corona </v>
      </c>
    </row>
    <row r="75" ht="12.75" customHeight="1">
      <c r="A75" s="11">
        <v>73.0</v>
      </c>
      <c r="B75" s="19">
        <v>2010653.0</v>
      </c>
      <c r="C75" s="19" t="s">
        <v>99</v>
      </c>
      <c r="D75" s="19" t="s">
        <v>100</v>
      </c>
      <c r="E75" s="19" t="s">
        <v>91</v>
      </c>
      <c r="F75" s="17">
        <v>1997.0</v>
      </c>
      <c r="G75" s="17">
        <v>8.7</v>
      </c>
      <c r="H75" s="16">
        <v>6.002999999999999</v>
      </c>
      <c r="I75" s="16">
        <v>16578.459000000003</v>
      </c>
      <c r="J75" s="16">
        <v>68655.963</v>
      </c>
      <c r="K75" s="16">
        <v>99.006</v>
      </c>
      <c r="L75" s="16">
        <v>1010.592</v>
      </c>
      <c r="M75" s="16">
        <v>6.612</v>
      </c>
      <c r="N75" s="16">
        <v>7.0</v>
      </c>
      <c r="O75" s="16">
        <v>2.5229999999999997</v>
      </c>
      <c r="P75" s="16">
        <v>7.0</v>
      </c>
      <c r="Q75" s="17" t="str">
        <f t="shared" si="1"/>
        <v>2.774474832</v>
      </c>
      <c r="R75" s="17" t="str">
        <f t="shared" si="2"/>
        <v>1.101449275</v>
      </c>
      <c r="S75" s="17" t="str">
        <f t="shared" si="8"/>
        <v>0.3604285714</v>
      </c>
      <c r="T75" s="17" t="s">
        <v>30</v>
      </c>
      <c r="U75" s="17" t="str">
        <f t="shared" si="74"/>
        <v>Thermal Fault &lt;700c, thermal fault &gt;700c </v>
      </c>
      <c r="V75" s="17" t="str">
        <f t="shared" ref="V75:V77" si="77">IF(S75&lt;1,"Partial discharge, Normal ",IF(S75&gt;3,"Arching,Thermal  Fault &gt; 700 c"))</f>
        <v>Partial discharge, Normal </v>
      </c>
      <c r="W75" s="17" t="str">
        <f t="shared" si="3"/>
        <v>2.774474832</v>
      </c>
      <c r="X75" s="17" t="str">
        <f t="shared" si="33"/>
        <v>1.101449275</v>
      </c>
      <c r="Y75" s="17" t="str">
        <f t="shared" si="9"/>
        <v>0.3604285714</v>
      </c>
      <c r="Z75" s="17" t="str">
        <f t="shared" ref="Z75:Z79" si="78">IF(W75&gt;1,"Discharge of Low Energy,  ",IF(W75&lt;0.1,"Thermal  Fault&gt; 300c and&lt;700 c"))</f>
        <v>Discharge of Low Energy,  </v>
      </c>
      <c r="AA75" s="17" t="str">
        <f t="shared" si="75"/>
        <v>Thermal  Fault &gt;300c and&lt;700 and &gt;700 c</v>
      </c>
      <c r="AB75" s="17" t="s">
        <v>35</v>
      </c>
      <c r="AC75" s="17" t="str">
        <f t="shared" si="5"/>
        <v>1.101449275</v>
      </c>
      <c r="AD75" s="18" t="str">
        <f t="shared" si="10"/>
        <v>2.774474832</v>
      </c>
      <c r="AE75" s="17" t="str">
        <f t="shared" si="6"/>
        <v>1.058681186</v>
      </c>
      <c r="AF75" s="17" t="str">
        <f t="shared" si="11"/>
        <v>1</v>
      </c>
      <c r="AG75" s="17" t="str">
        <f t="shared" si="76"/>
        <v>Thermal Decomposition, </v>
      </c>
      <c r="AH75" s="17" t="str">
        <f t="shared" si="68"/>
        <v>Arching</v>
      </c>
      <c r="AI75" s="17" t="str">
        <f t="shared" si="16"/>
        <v>Arching</v>
      </c>
      <c r="AJ75" s="17" t="str">
        <f t="shared" si="7"/>
        <v>Thermal Decomposition,corona </v>
      </c>
    </row>
    <row r="76" ht="12.75" customHeight="1">
      <c r="A76" s="11">
        <v>74.0</v>
      </c>
      <c r="B76" s="19">
        <v>2010652.0</v>
      </c>
      <c r="C76" s="19" t="s">
        <v>99</v>
      </c>
      <c r="D76" s="19" t="s">
        <v>100</v>
      </c>
      <c r="E76" s="19" t="s">
        <v>91</v>
      </c>
      <c r="F76" s="17">
        <v>1997.0</v>
      </c>
      <c r="G76" s="17">
        <v>8.0</v>
      </c>
      <c r="H76" s="16">
        <v>4.72</v>
      </c>
      <c r="I76" s="16">
        <v>15233.76</v>
      </c>
      <c r="J76" s="16">
        <v>62455.03999999999</v>
      </c>
      <c r="K76" s="16">
        <v>115.92</v>
      </c>
      <c r="L76" s="16">
        <v>1075.0400000000002</v>
      </c>
      <c r="M76" s="16">
        <v>5.4399999999999995</v>
      </c>
      <c r="N76" s="16">
        <v>8.0</v>
      </c>
      <c r="O76" s="16">
        <v>5.0</v>
      </c>
      <c r="P76" s="16">
        <v>8.0</v>
      </c>
      <c r="Q76" s="17" t="str">
        <f t="shared" si="1"/>
        <v>1.6</v>
      </c>
      <c r="R76" s="17" t="str">
        <f t="shared" si="2"/>
        <v>1.152542373</v>
      </c>
      <c r="S76" s="17" t="str">
        <f t="shared" si="8"/>
        <v>0.625</v>
      </c>
      <c r="T76" s="17" t="s">
        <v>30</v>
      </c>
      <c r="U76" s="17" t="str">
        <f t="shared" si="74"/>
        <v>Thermal Fault &lt;700c, thermal fault &gt;700c </v>
      </c>
      <c r="V76" s="17" t="str">
        <f t="shared" si="77"/>
        <v>Partial discharge, Normal </v>
      </c>
      <c r="W76" s="17" t="str">
        <f t="shared" si="3"/>
        <v>1.6</v>
      </c>
      <c r="X76" s="17" t="str">
        <f t="shared" si="33"/>
        <v>1.152542373</v>
      </c>
      <c r="Y76" s="17" t="str">
        <f t="shared" si="9"/>
        <v>0.625</v>
      </c>
      <c r="Z76" s="17" t="str">
        <f t="shared" si="78"/>
        <v>Discharge of Low Energy,  </v>
      </c>
      <c r="AA76" s="17" t="str">
        <f t="shared" si="75"/>
        <v>Thermal  Fault &gt;300c and&lt;700 and &gt;700 c</v>
      </c>
      <c r="AB76" s="17" t="s">
        <v>35</v>
      </c>
      <c r="AC76" s="17" t="str">
        <f t="shared" si="5"/>
        <v>1.152542373</v>
      </c>
      <c r="AD76" s="18" t="str">
        <f t="shared" si="10"/>
        <v>1.6</v>
      </c>
      <c r="AE76" s="17" t="str">
        <f t="shared" si="6"/>
        <v>1.470588235</v>
      </c>
      <c r="AF76" s="17" t="str">
        <f t="shared" si="11"/>
        <v>1</v>
      </c>
      <c r="AG76" s="17" t="str">
        <f t="shared" si="76"/>
        <v>Thermal Decomposition, </v>
      </c>
      <c r="AH76" s="17" t="str">
        <f t="shared" si="68"/>
        <v>Arching</v>
      </c>
      <c r="AI76" s="17" t="str">
        <f t="shared" si="16"/>
        <v>Arching</v>
      </c>
      <c r="AJ76" s="17" t="str">
        <f t="shared" si="7"/>
        <v>Thermal Decomposition,corona </v>
      </c>
    </row>
    <row r="77" ht="12.75" customHeight="1">
      <c r="A77" s="11">
        <v>75.0</v>
      </c>
      <c r="B77" s="19" t="s">
        <v>101</v>
      </c>
      <c r="C77" s="19" t="s">
        <v>27</v>
      </c>
      <c r="D77" s="19" t="s">
        <v>94</v>
      </c>
      <c r="E77" s="19" t="s">
        <v>102</v>
      </c>
      <c r="F77" s="17">
        <v>2009.0</v>
      </c>
      <c r="G77" s="17">
        <v>8.5</v>
      </c>
      <c r="H77" s="16">
        <v>15.045</v>
      </c>
      <c r="I77" s="16">
        <v>15660.655</v>
      </c>
      <c r="J77" s="16">
        <v>65578.18</v>
      </c>
      <c r="K77" s="16">
        <v>194.73499999999999</v>
      </c>
      <c r="L77" s="16">
        <v>2535.72</v>
      </c>
      <c r="M77" s="16">
        <v>10.88</v>
      </c>
      <c r="N77" s="16">
        <v>9.0</v>
      </c>
      <c r="O77" s="16">
        <v>8.0</v>
      </c>
      <c r="P77" s="16">
        <v>12.0</v>
      </c>
      <c r="Q77" s="17" t="str">
        <f t="shared" si="1"/>
        <v>1.5</v>
      </c>
      <c r="R77" s="17" t="str">
        <f t="shared" si="2"/>
        <v>0.7231638418</v>
      </c>
      <c r="S77" s="17" t="str">
        <f t="shared" si="8"/>
        <v>0.8888888889</v>
      </c>
      <c r="T77" s="17" t="s">
        <v>30</v>
      </c>
      <c r="U77" s="17" t="s">
        <v>31</v>
      </c>
      <c r="V77" s="17" t="str">
        <f t="shared" si="77"/>
        <v>Partial discharge, Normal </v>
      </c>
      <c r="W77" s="17" t="str">
        <f t="shared" si="3"/>
        <v>1.5</v>
      </c>
      <c r="X77" s="17" t="str">
        <f t="shared" si="33"/>
        <v>0.7231638418</v>
      </c>
      <c r="Y77" s="17" t="str">
        <f t="shared" si="9"/>
        <v>0.8888888889</v>
      </c>
      <c r="Z77" s="17" t="str">
        <f t="shared" si="78"/>
        <v>Discharge of Low Energy,  </v>
      </c>
      <c r="AA77" s="17" t="s">
        <v>34</v>
      </c>
      <c r="AB77" s="17" t="s">
        <v>35</v>
      </c>
      <c r="AC77" s="17" t="str">
        <f t="shared" si="5"/>
        <v>0.7231638418</v>
      </c>
      <c r="AD77" s="18" t="str">
        <f t="shared" si="10"/>
        <v>1.5</v>
      </c>
      <c r="AE77" s="17" t="str">
        <f t="shared" si="6"/>
        <v>1.102941176</v>
      </c>
      <c r="AF77" s="17" t="str">
        <f t="shared" si="11"/>
        <v>0.75</v>
      </c>
      <c r="AG77" s="17" t="s">
        <v>30</v>
      </c>
      <c r="AH77" s="17" t="str">
        <f t="shared" si="68"/>
        <v>Arching</v>
      </c>
      <c r="AI77" s="17" t="str">
        <f t="shared" si="16"/>
        <v>Arching</v>
      </c>
      <c r="AJ77" s="17" t="str">
        <f t="shared" si="7"/>
        <v>Thermal Decomposition,corona </v>
      </c>
    </row>
    <row r="78" ht="12.75" customHeight="1">
      <c r="A78" s="11">
        <v>76.0</v>
      </c>
      <c r="B78" s="19" t="s">
        <v>103</v>
      </c>
      <c r="C78" s="19" t="s">
        <v>27</v>
      </c>
      <c r="D78" s="19" t="s">
        <v>94</v>
      </c>
      <c r="E78" s="19" t="s">
        <v>102</v>
      </c>
      <c r="F78" s="17">
        <v>2009.0</v>
      </c>
      <c r="G78" s="17">
        <v>8.4</v>
      </c>
      <c r="H78" s="16">
        <v>130.20000000000002</v>
      </c>
      <c r="I78" s="16">
        <v>15525.636</v>
      </c>
      <c r="J78" s="16">
        <v>64733.676</v>
      </c>
      <c r="K78" s="16">
        <v>169.176</v>
      </c>
      <c r="L78" s="16">
        <v>2978.304</v>
      </c>
      <c r="M78" s="16">
        <v>24.276</v>
      </c>
      <c r="N78" s="16">
        <v>5.0</v>
      </c>
      <c r="O78" s="16">
        <v>8.0</v>
      </c>
      <c r="P78" s="16">
        <v>22.0</v>
      </c>
      <c r="Q78" s="17" t="str">
        <f t="shared" si="1"/>
        <v>2.75</v>
      </c>
      <c r="R78" s="17" t="str">
        <f t="shared" si="2"/>
        <v>0.1864516129</v>
      </c>
      <c r="S78" s="17" t="str">
        <f t="shared" si="8"/>
        <v>1.6</v>
      </c>
      <c r="T78" s="17" t="s">
        <v>30</v>
      </c>
      <c r="U78" s="17" t="s">
        <v>31</v>
      </c>
      <c r="V78" s="17" t="s">
        <v>37</v>
      </c>
      <c r="W78" s="17" t="str">
        <f t="shared" si="3"/>
        <v>2.75</v>
      </c>
      <c r="X78" s="17" t="str">
        <f t="shared" si="33"/>
        <v>0.1864516129</v>
      </c>
      <c r="Y78" s="17" t="str">
        <f t="shared" si="9"/>
        <v>1.6</v>
      </c>
      <c r="Z78" s="17" t="str">
        <f t="shared" si="78"/>
        <v>Discharge of Low Energy,  </v>
      </c>
      <c r="AA78" s="17" t="s">
        <v>34</v>
      </c>
      <c r="AB78" s="17" t="str">
        <f>IF(Y78&lt;0.2,"Partial Discharges, ",IF(Y78&gt;1,"Thermal  Fault  &gt;700 c"))</f>
        <v>Thermal  Fault  &gt;700 c</v>
      </c>
      <c r="AC78" s="17" t="str">
        <f t="shared" si="5"/>
        <v>0.1864516129</v>
      </c>
      <c r="AD78" s="18" t="str">
        <f t="shared" si="10"/>
        <v>2.75</v>
      </c>
      <c r="AE78" s="17" t="str">
        <f t="shared" si="6"/>
        <v>0.9062448509</v>
      </c>
      <c r="AF78" s="17" t="str">
        <f t="shared" si="11"/>
        <v>0.2272727273</v>
      </c>
      <c r="AG78" s="17" t="s">
        <v>30</v>
      </c>
      <c r="AH78" s="17" t="str">
        <f t="shared" si="68"/>
        <v>Arching</v>
      </c>
      <c r="AI78" s="17" t="str">
        <f t="shared" si="16"/>
        <v>Arching</v>
      </c>
      <c r="AJ78" s="17" t="str">
        <f t="shared" si="7"/>
        <v>Arching</v>
      </c>
    </row>
    <row r="79" ht="12.75" customHeight="1">
      <c r="A79" s="11">
        <v>77.0</v>
      </c>
      <c r="B79" s="19" t="s">
        <v>104</v>
      </c>
      <c r="C79" s="19" t="s">
        <v>99</v>
      </c>
      <c r="D79" s="19" t="s">
        <v>105</v>
      </c>
      <c r="E79" s="19" t="s">
        <v>106</v>
      </c>
      <c r="F79" s="17">
        <v>2009.0</v>
      </c>
      <c r="G79" s="17">
        <v>8.2</v>
      </c>
      <c r="H79" s="16">
        <v>5.6579999999999995</v>
      </c>
      <c r="I79" s="16">
        <v>15029.123999999998</v>
      </c>
      <c r="J79" s="16">
        <v>64151.22399999999</v>
      </c>
      <c r="K79" s="16">
        <v>155.308</v>
      </c>
      <c r="L79" s="16">
        <v>1608.512</v>
      </c>
      <c r="M79" s="16">
        <v>7.954</v>
      </c>
      <c r="N79" s="16">
        <v>6.0</v>
      </c>
      <c r="O79" s="16">
        <v>5.6579999999999995</v>
      </c>
      <c r="P79" s="16">
        <v>9.0</v>
      </c>
      <c r="Q79" s="17" t="str">
        <f t="shared" si="1"/>
        <v>1.590668081</v>
      </c>
      <c r="R79" s="17" t="str">
        <f t="shared" si="2"/>
        <v>1.405797101</v>
      </c>
      <c r="S79" s="17" t="str">
        <f t="shared" si="8"/>
        <v>0.943</v>
      </c>
      <c r="T79" s="17" t="s">
        <v>30</v>
      </c>
      <c r="U79" s="17" t="str">
        <f t="shared" ref="U79:U82" si="79">IF(R79&gt;1,"Thermal Fault &lt;700c, thermal fault &gt;700c ")</f>
        <v>Thermal Fault &lt;700c, thermal fault &gt;700c </v>
      </c>
      <c r="V79" s="17" t="str">
        <f t="shared" ref="V79:V81" si="80">IF(S79&lt;1,"Partial discharge, Normal ",IF(S79&gt;3,"Arching,Thermal  Fault &gt; 700 c"))</f>
        <v>Partial discharge, Normal </v>
      </c>
      <c r="W79" s="17" t="str">
        <f t="shared" si="3"/>
        <v>1.590668081</v>
      </c>
      <c r="X79" s="17" t="str">
        <f t="shared" si="33"/>
        <v>1.405797101</v>
      </c>
      <c r="Y79" s="17" t="str">
        <f t="shared" si="9"/>
        <v>0.943</v>
      </c>
      <c r="Z79" s="17" t="str">
        <f t="shared" si="78"/>
        <v>Discharge of Low Energy,  </v>
      </c>
      <c r="AA79" s="17" t="str">
        <f t="shared" ref="AA79:AA82" si="81">IF(X79&lt;0.1,"Partial Discharges, ",IF(X79&gt;1,"Thermal  Fault &gt;300c and&lt;700 and &gt;700 c"))</f>
        <v>Thermal  Fault &gt;300c and&lt;700 and &gt;700 c</v>
      </c>
      <c r="AB79" s="17" t="s">
        <v>107</v>
      </c>
      <c r="AC79" s="17" t="str">
        <f t="shared" si="5"/>
        <v>1.405797101</v>
      </c>
      <c r="AD79" s="18" t="str">
        <f t="shared" si="10"/>
        <v>1.590668081</v>
      </c>
      <c r="AE79" s="17" t="str">
        <f t="shared" si="6"/>
        <v>1.13150616</v>
      </c>
      <c r="AF79" s="17" t="str">
        <f t="shared" si="11"/>
        <v>0.6666666667</v>
      </c>
      <c r="AG79" s="17" t="str">
        <f t="shared" ref="AG79:AG82" si="82">IF(AC79&gt;1,"Thermal Decomposition, ",IF(AC79&lt;0.1,"Corona,Arching"))</f>
        <v>Thermal Decomposition, </v>
      </c>
      <c r="AH79" s="17" t="str">
        <f t="shared" si="68"/>
        <v>Arching</v>
      </c>
      <c r="AI79" s="17" t="str">
        <f t="shared" si="16"/>
        <v>Arching</v>
      </c>
      <c r="AJ79" s="17" t="str">
        <f t="shared" si="7"/>
        <v>Thermal Decomposition,corona </v>
      </c>
    </row>
    <row r="80" ht="12.75" customHeight="1">
      <c r="A80" s="11">
        <v>78.0</v>
      </c>
      <c r="B80" s="19" t="s">
        <v>108</v>
      </c>
      <c r="C80" s="19" t="s">
        <v>99</v>
      </c>
      <c r="D80" s="19" t="s">
        <v>105</v>
      </c>
      <c r="E80" s="19" t="s">
        <v>106</v>
      </c>
      <c r="F80" s="17">
        <v>2009.0</v>
      </c>
      <c r="G80" s="17">
        <v>8.5</v>
      </c>
      <c r="H80" s="16">
        <v>2.465</v>
      </c>
      <c r="I80" s="16">
        <v>15773.620000000003</v>
      </c>
      <c r="J80" s="16">
        <v>66084.35500000001</v>
      </c>
      <c r="K80" s="16">
        <v>161.075</v>
      </c>
      <c r="L80" s="16">
        <v>1835.4050000000002</v>
      </c>
      <c r="M80" s="16">
        <v>9.180000000000001</v>
      </c>
      <c r="N80" s="16">
        <v>11.0</v>
      </c>
      <c r="O80" s="16">
        <v>9.0</v>
      </c>
      <c r="P80" s="16">
        <v>6.0</v>
      </c>
      <c r="Q80" s="17" t="str">
        <f t="shared" si="1"/>
        <v>0.6666666667</v>
      </c>
      <c r="R80" s="17" t="str">
        <f t="shared" si="2"/>
        <v>3.724137931</v>
      </c>
      <c r="S80" s="17" t="str">
        <f t="shared" si="8"/>
        <v>0.8181818182</v>
      </c>
      <c r="T80" s="17" t="str">
        <f>IF(Q80&lt;1,"Partial discharge,Low Temprature thermal fault,")</f>
        <v>Partial discharge,Low Temprature thermal fault,</v>
      </c>
      <c r="U80" s="17" t="str">
        <f t="shared" si="79"/>
        <v>Thermal Fault &lt;700c, thermal fault &gt;700c </v>
      </c>
      <c r="V80" s="17" t="str">
        <f t="shared" si="80"/>
        <v>Partial discharge, Normal </v>
      </c>
      <c r="W80" s="17" t="str">
        <f t="shared" si="3"/>
        <v>0.6666666667</v>
      </c>
      <c r="X80" s="17" t="str">
        <f t="shared" si="33"/>
        <v>3.724137931</v>
      </c>
      <c r="Y80" s="17" t="str">
        <f t="shared" si="9"/>
        <v>0.8181818182</v>
      </c>
      <c r="Z80" s="17" t="s">
        <v>34</v>
      </c>
      <c r="AA80" s="17" t="str">
        <f t="shared" si="81"/>
        <v>Thermal  Fault &gt;300c and&lt;700 and &gt;700 c</v>
      </c>
      <c r="AB80" s="17" t="s">
        <v>35</v>
      </c>
      <c r="AC80" s="17" t="str">
        <f t="shared" si="5"/>
        <v>3.724137931</v>
      </c>
      <c r="AD80" s="18" t="str">
        <f t="shared" si="10"/>
        <v>0.6666666667</v>
      </c>
      <c r="AE80" s="17" t="str">
        <f t="shared" si="6"/>
        <v>0.6535947712</v>
      </c>
      <c r="AF80" s="17" t="str">
        <f t="shared" si="11"/>
        <v>1.833333333</v>
      </c>
      <c r="AG80" s="17" t="str">
        <f t="shared" si="82"/>
        <v>Thermal Decomposition, </v>
      </c>
      <c r="AH80" s="17" t="str">
        <f t="shared" si="68"/>
        <v>Thermal Decomposition, </v>
      </c>
      <c r="AI80" s="17" t="str">
        <f t="shared" si="16"/>
        <v>Arching</v>
      </c>
      <c r="AJ80" s="17" t="str">
        <f t="shared" si="7"/>
        <v>Thermal Decomposition,corona </v>
      </c>
    </row>
    <row r="81" ht="12.75" customHeight="1">
      <c r="A81" s="11">
        <v>79.0</v>
      </c>
      <c r="B81" s="19" t="s">
        <v>109</v>
      </c>
      <c r="C81" s="19" t="s">
        <v>99</v>
      </c>
      <c r="D81" s="19" t="s">
        <v>105</v>
      </c>
      <c r="E81" s="19" t="s">
        <v>106</v>
      </c>
      <c r="F81" s="19">
        <v>2010.0</v>
      </c>
      <c r="G81" s="17">
        <v>8.5</v>
      </c>
      <c r="H81" s="16">
        <v>6.375</v>
      </c>
      <c r="I81" s="16">
        <v>16343.375</v>
      </c>
      <c r="J81" s="16">
        <v>66314.365</v>
      </c>
      <c r="K81" s="16">
        <v>124.35500000000002</v>
      </c>
      <c r="L81" s="16">
        <v>1433.7800000000002</v>
      </c>
      <c r="M81" s="16">
        <v>8.415000000000001</v>
      </c>
      <c r="N81" s="16">
        <v>16.0</v>
      </c>
      <c r="O81" s="16">
        <v>7.0</v>
      </c>
      <c r="P81" s="16">
        <v>7.0</v>
      </c>
      <c r="Q81" s="17" t="str">
        <f t="shared" si="1"/>
        <v>1</v>
      </c>
      <c r="R81" s="17" t="str">
        <f t="shared" si="2"/>
        <v>1.32</v>
      </c>
      <c r="S81" s="17" t="str">
        <f t="shared" si="8"/>
        <v>0.4375</v>
      </c>
      <c r="T81" s="17" t="s">
        <v>30</v>
      </c>
      <c r="U81" s="17" t="str">
        <f t="shared" si="79"/>
        <v>Thermal Fault &lt;700c, thermal fault &gt;700c </v>
      </c>
      <c r="V81" s="17" t="str">
        <f t="shared" si="80"/>
        <v>Partial discharge, Normal </v>
      </c>
      <c r="W81" s="17" t="str">
        <f t="shared" si="3"/>
        <v>1</v>
      </c>
      <c r="X81" s="17" t="str">
        <f t="shared" si="33"/>
        <v>1.32</v>
      </c>
      <c r="Y81" s="17" t="str">
        <f t="shared" si="9"/>
        <v>0.4375</v>
      </c>
      <c r="Z81" s="17" t="s">
        <v>34</v>
      </c>
      <c r="AA81" s="17" t="str">
        <f t="shared" si="81"/>
        <v>Thermal  Fault &gt;300c and&lt;700 and &gt;700 c</v>
      </c>
      <c r="AB81" s="17" t="s">
        <v>35</v>
      </c>
      <c r="AC81" s="17" t="str">
        <f t="shared" si="5"/>
        <v>1.32</v>
      </c>
      <c r="AD81" s="18" t="str">
        <f t="shared" si="10"/>
        <v>1</v>
      </c>
      <c r="AE81" s="17" t="str">
        <f t="shared" si="6"/>
        <v>0.8318478907</v>
      </c>
      <c r="AF81" s="17" t="str">
        <f t="shared" si="11"/>
        <v>2.285714286</v>
      </c>
      <c r="AG81" s="17" t="str">
        <f t="shared" si="82"/>
        <v>Thermal Decomposition, </v>
      </c>
      <c r="AH81" s="17" t="str">
        <f t="shared" si="68"/>
        <v>Arching</v>
      </c>
      <c r="AI81" s="17" t="str">
        <f t="shared" si="16"/>
        <v>Arching</v>
      </c>
      <c r="AJ81" s="17" t="str">
        <f t="shared" si="7"/>
        <v>Thermal Decomposition,corona </v>
      </c>
    </row>
    <row r="82" ht="12.75" customHeight="1">
      <c r="A82" s="11">
        <v>80.0</v>
      </c>
      <c r="B82" s="19" t="s">
        <v>110</v>
      </c>
      <c r="C82" s="19" t="s">
        <v>99</v>
      </c>
      <c r="D82" s="19" t="s">
        <v>105</v>
      </c>
      <c r="E82" s="19" t="s">
        <v>106</v>
      </c>
      <c r="F82" s="17">
        <v>2010.0</v>
      </c>
      <c r="G82" s="17">
        <v>8.3</v>
      </c>
      <c r="H82" s="16">
        <v>7.304000000000001</v>
      </c>
      <c r="I82" s="16">
        <v>15029.225000000002</v>
      </c>
      <c r="J82" s="16">
        <v>65325.648000000016</v>
      </c>
      <c r="K82" s="16">
        <v>136.53500000000003</v>
      </c>
      <c r="L82" s="16">
        <v>1264.256</v>
      </c>
      <c r="M82" s="16">
        <v>10.126000000000001</v>
      </c>
      <c r="N82" s="16">
        <v>8.0</v>
      </c>
      <c r="O82" s="16">
        <v>9.0</v>
      </c>
      <c r="P82" s="16">
        <v>5.0</v>
      </c>
      <c r="Q82" s="17" t="str">
        <f t="shared" si="1"/>
        <v>0.5555555556</v>
      </c>
      <c r="R82" s="17" t="str">
        <f t="shared" si="2"/>
        <v>1.386363636</v>
      </c>
      <c r="S82" s="17" t="str">
        <f t="shared" si="8"/>
        <v>1.125</v>
      </c>
      <c r="T82" s="17" t="str">
        <f>IF(Q82&lt;1,"Partial discharge,Low Temprature thermal fault,")</f>
        <v>Partial discharge,Low Temprature thermal fault,</v>
      </c>
      <c r="U82" s="17" t="str">
        <f t="shared" si="79"/>
        <v>Thermal Fault &lt;700c, thermal fault &gt;700c </v>
      </c>
      <c r="V82" s="17" t="s">
        <v>37</v>
      </c>
      <c r="W82" s="17" t="str">
        <f t="shared" si="3"/>
        <v>0.5555555556</v>
      </c>
      <c r="X82" s="17" t="str">
        <f t="shared" si="33"/>
        <v>1.386363636</v>
      </c>
      <c r="Y82" s="17" t="str">
        <f t="shared" si="9"/>
        <v>1.125</v>
      </c>
      <c r="Z82" s="17" t="s">
        <v>34</v>
      </c>
      <c r="AA82" s="17" t="str">
        <f t="shared" si="81"/>
        <v>Thermal  Fault &gt;300c and&lt;700 and &gt;700 c</v>
      </c>
      <c r="AB82" s="17" t="str">
        <f>IF(Y82&lt;0.2,"Partial Discharges, ",IF(Y82&gt;1,"Thermal  Fault  &gt;700 c"))</f>
        <v>Thermal  Fault  &gt;700 c</v>
      </c>
      <c r="AC82" s="17" t="str">
        <f t="shared" si="5"/>
        <v>1.386363636</v>
      </c>
      <c r="AD82" s="18" t="str">
        <f t="shared" si="10"/>
        <v>0.5555555556</v>
      </c>
      <c r="AE82" s="17" t="str">
        <f t="shared" si="6"/>
        <v>0.4937783923</v>
      </c>
      <c r="AF82" s="17" t="str">
        <f t="shared" si="11"/>
        <v>1.6</v>
      </c>
      <c r="AG82" s="17" t="str">
        <f t="shared" si="82"/>
        <v>Thermal Decomposition, </v>
      </c>
      <c r="AH82" s="17" t="str">
        <f t="shared" si="68"/>
        <v>Thermal Decomposition, </v>
      </c>
      <c r="AI82" s="17" t="str">
        <f t="shared" si="16"/>
        <v>Arching</v>
      </c>
      <c r="AJ82" s="17" t="str">
        <f t="shared" si="7"/>
        <v>Thermal Decomposition,corona </v>
      </c>
    </row>
    <row r="83" ht="12.75" customHeight="1">
      <c r="A83" s="11">
        <v>81.0</v>
      </c>
      <c r="B83" s="19" t="s">
        <v>111</v>
      </c>
      <c r="C83" s="19" t="s">
        <v>27</v>
      </c>
      <c r="D83" s="19" t="s">
        <v>79</v>
      </c>
      <c r="E83" s="19" t="s">
        <v>112</v>
      </c>
      <c r="F83" s="17">
        <v>2009.0</v>
      </c>
      <c r="G83" s="17">
        <v>7.8</v>
      </c>
      <c r="H83" s="16">
        <v>14.429999999999998</v>
      </c>
      <c r="I83" s="16">
        <v>14322.672</v>
      </c>
      <c r="J83" s="16">
        <v>61768.35600000001</v>
      </c>
      <c r="K83" s="16">
        <v>92.274</v>
      </c>
      <c r="L83" s="16">
        <v>919.698</v>
      </c>
      <c r="M83" s="16">
        <v>6.708</v>
      </c>
      <c r="N83" s="16">
        <v>14.0</v>
      </c>
      <c r="O83" s="16">
        <v>6.0</v>
      </c>
      <c r="P83" s="16">
        <v>8.0</v>
      </c>
      <c r="Q83" s="17" t="str">
        <f t="shared" si="1"/>
        <v>1.333333333</v>
      </c>
      <c r="R83" s="17" t="str">
        <f t="shared" si="2"/>
        <v>0.4648648649</v>
      </c>
      <c r="S83" s="17" t="str">
        <f t="shared" si="8"/>
        <v>0.4285714286</v>
      </c>
      <c r="T83" s="17" t="s">
        <v>30</v>
      </c>
      <c r="U83" s="17" t="s">
        <v>31</v>
      </c>
      <c r="V83" s="17" t="str">
        <f>IF(S83&lt;1,"Partial discharge, Normal ",IF(S83&gt;3,"Arching,Thermal  Fault &gt; 700 c"))</f>
        <v>Partial discharge, Normal </v>
      </c>
      <c r="W83" s="17" t="str">
        <f t="shared" si="3"/>
        <v>1.333333333</v>
      </c>
      <c r="X83" s="17" t="str">
        <f t="shared" si="33"/>
        <v>0.4648648649</v>
      </c>
      <c r="Y83" s="17" t="str">
        <f t="shared" si="9"/>
        <v>0.4285714286</v>
      </c>
      <c r="Z83" s="17" t="str">
        <f>IF(W83&gt;1,"Discharge of Low Energy,  ",IF(W83&lt;0.1,"Thermal  Fault&gt; 300c and&lt;700 c"))</f>
        <v>Discharge of Low Energy,  </v>
      </c>
      <c r="AA83" s="17" t="s">
        <v>34</v>
      </c>
      <c r="AB83" s="17" t="s">
        <v>35</v>
      </c>
      <c r="AC83" s="17" t="str">
        <f t="shared" si="5"/>
        <v>0.4648648649</v>
      </c>
      <c r="AD83" s="18" t="str">
        <f t="shared" si="10"/>
        <v>1.333333333</v>
      </c>
      <c r="AE83" s="17" t="str">
        <f t="shared" si="6"/>
        <v>1.192605844</v>
      </c>
      <c r="AF83" s="17" t="str">
        <f t="shared" si="11"/>
        <v>1.75</v>
      </c>
      <c r="AG83" s="17" t="s">
        <v>30</v>
      </c>
      <c r="AH83" s="17" t="str">
        <f t="shared" si="68"/>
        <v>Arching</v>
      </c>
      <c r="AI83" s="17" t="str">
        <f t="shared" si="16"/>
        <v>Arching</v>
      </c>
      <c r="AJ83" s="17" t="str">
        <f t="shared" si="7"/>
        <v>Thermal Decomposition,corona </v>
      </c>
    </row>
    <row r="84" ht="12.75" customHeight="1">
      <c r="A84" s="11">
        <v>82.0</v>
      </c>
      <c r="B84" s="19" t="s">
        <v>113</v>
      </c>
      <c r="C84" s="19" t="s">
        <v>27</v>
      </c>
      <c r="D84" s="19" t="s">
        <v>79</v>
      </c>
      <c r="E84" s="19" t="s">
        <v>112</v>
      </c>
      <c r="F84" s="17">
        <v>2009.0</v>
      </c>
      <c r="G84" s="17">
        <v>7.5</v>
      </c>
      <c r="H84" s="16">
        <v>19.35</v>
      </c>
      <c r="I84" s="16">
        <v>13649.7</v>
      </c>
      <c r="J84" s="16">
        <v>59061.74999999999</v>
      </c>
      <c r="K84" s="16">
        <v>107.54999999999998</v>
      </c>
      <c r="L84" s="16">
        <v>1382.325</v>
      </c>
      <c r="M84" s="16">
        <v>4.275</v>
      </c>
      <c r="N84" s="16">
        <v>8.925</v>
      </c>
      <c r="O84" s="16">
        <v>9.0</v>
      </c>
      <c r="P84" s="16">
        <v>9.0</v>
      </c>
      <c r="Q84" s="17" t="str">
        <f t="shared" si="1"/>
        <v>1</v>
      </c>
      <c r="R84" s="17" t="str">
        <f t="shared" si="2"/>
        <v>0.2209302326</v>
      </c>
      <c r="S84" s="17" t="str">
        <f t="shared" si="8"/>
        <v>1.008403361</v>
      </c>
      <c r="T84" s="17" t="s">
        <v>30</v>
      </c>
      <c r="U84" s="17" t="s">
        <v>31</v>
      </c>
      <c r="V84" s="17" t="s">
        <v>37</v>
      </c>
      <c r="W84" s="17" t="str">
        <f t="shared" si="3"/>
        <v>1</v>
      </c>
      <c r="X84" s="17" t="str">
        <f t="shared" si="33"/>
        <v>0.2209302326</v>
      </c>
      <c r="Y84" s="17" t="str">
        <f t="shared" si="9"/>
        <v>1.008403361</v>
      </c>
      <c r="Z84" s="17" t="s">
        <v>34</v>
      </c>
      <c r="AA84" s="17" t="s">
        <v>34</v>
      </c>
      <c r="AB84" s="17" t="str">
        <f t="shared" ref="AB84:AB85" si="83">IF(Y84&lt;0.2,"Partial Discharges, ",IF(Y84&gt;1,"Thermal  Fault  &gt;700 c"))</f>
        <v>Thermal  Fault  &gt;700 c</v>
      </c>
      <c r="AC84" s="17" t="str">
        <f t="shared" si="5"/>
        <v>0.2209302326</v>
      </c>
      <c r="AD84" s="18" t="str">
        <f t="shared" si="10"/>
        <v>1</v>
      </c>
      <c r="AE84" s="17" t="str">
        <f t="shared" si="6"/>
        <v>2.105263158</v>
      </c>
      <c r="AF84" s="17" t="str">
        <f t="shared" si="11"/>
        <v>0.9916666667</v>
      </c>
      <c r="AG84" s="17" t="s">
        <v>30</v>
      </c>
      <c r="AH84" s="17" t="str">
        <f t="shared" si="68"/>
        <v>Arching</v>
      </c>
      <c r="AI84" s="17" t="str">
        <f t="shared" si="16"/>
        <v>Arching</v>
      </c>
      <c r="AJ84" s="17" t="str">
        <f t="shared" si="7"/>
        <v>Thermal Decomposition,corona </v>
      </c>
    </row>
    <row r="85" ht="12.75" customHeight="1">
      <c r="A85" s="11">
        <v>83.0</v>
      </c>
      <c r="B85" s="19" t="s">
        <v>114</v>
      </c>
      <c r="C85" s="19" t="s">
        <v>27</v>
      </c>
      <c r="D85" s="19" t="s">
        <v>94</v>
      </c>
      <c r="E85" s="19" t="s">
        <v>112</v>
      </c>
      <c r="F85" s="17">
        <v>2009.0</v>
      </c>
      <c r="G85" s="17">
        <v>8.4</v>
      </c>
      <c r="H85" s="16">
        <v>11.676</v>
      </c>
      <c r="I85" s="16">
        <v>16229.303999999998</v>
      </c>
      <c r="J85" s="16">
        <v>65847.768</v>
      </c>
      <c r="K85" s="16">
        <v>98.53200000000001</v>
      </c>
      <c r="L85" s="16">
        <v>976.5840000000001</v>
      </c>
      <c r="M85" s="16">
        <v>29.988000000000003</v>
      </c>
      <c r="N85" s="16">
        <v>4.5360000000000005</v>
      </c>
      <c r="O85" s="16">
        <v>20.580000000000002</v>
      </c>
      <c r="P85" s="16">
        <v>12.0</v>
      </c>
      <c r="Q85" s="17" t="str">
        <f t="shared" si="1"/>
        <v>0.583090379</v>
      </c>
      <c r="R85" s="17" t="str">
        <f t="shared" si="2"/>
        <v>2.568345324</v>
      </c>
      <c r="S85" s="17" t="str">
        <f t="shared" si="8"/>
        <v>4.537037037</v>
      </c>
      <c r="T85" s="17" t="str">
        <f>IF(Q85&lt;1,"Partial discharge,Low Temprature thermal fault,")</f>
        <v>Partial discharge,Low Temprature thermal fault,</v>
      </c>
      <c r="U85" s="17" t="str">
        <f>IF(R85&gt;1,"Thermal Fault &lt;700c, thermal fault &gt;700c ")</f>
        <v>Thermal Fault &lt;700c, thermal fault &gt;700c </v>
      </c>
      <c r="V85" s="17" t="str">
        <f t="shared" ref="V85:V87" si="84">IF(S85&lt;1,"Partial discharge, Normal ",IF(S85&gt;3,"Arching,Thermal  Fault &gt; 700 c"))</f>
        <v>Arching,Thermal  Fault &gt; 700 c</v>
      </c>
      <c r="W85" s="17" t="str">
        <f t="shared" si="3"/>
        <v>0.583090379</v>
      </c>
      <c r="X85" s="17" t="str">
        <f t="shared" si="33"/>
        <v>2.568345324</v>
      </c>
      <c r="Y85" s="17" t="str">
        <f t="shared" si="9"/>
        <v>4.537037037</v>
      </c>
      <c r="Z85" s="17" t="s">
        <v>34</v>
      </c>
      <c r="AA85" s="17" t="str">
        <f>IF(X85&lt;0.1,"Partial Discharges, ",IF(X85&gt;1,"Thermal  Fault &gt;300c and&lt;700 and &gt;700 c"))</f>
        <v>Thermal  Fault &gt;300c and&lt;700 and &gt;700 c</v>
      </c>
      <c r="AB85" s="17" t="str">
        <f t="shared" si="83"/>
        <v>Thermal  Fault  &gt;700 c</v>
      </c>
      <c r="AC85" s="17" t="str">
        <f t="shared" si="5"/>
        <v>2.568345324</v>
      </c>
      <c r="AD85" s="18" t="str">
        <f t="shared" si="10"/>
        <v>0.583090379</v>
      </c>
      <c r="AE85" s="17" t="str">
        <f t="shared" si="6"/>
        <v>0.400160064</v>
      </c>
      <c r="AF85" s="17" t="str">
        <f t="shared" si="11"/>
        <v>0.378</v>
      </c>
      <c r="AG85" s="17" t="str">
        <f>IF(AC85&gt;1,"Thermal Decomposition, ",IF(AC85&lt;0.1,"Corona,Arching"))</f>
        <v>Thermal Decomposition, </v>
      </c>
      <c r="AH85" s="17" t="str">
        <f t="shared" si="68"/>
        <v>Thermal Decomposition, </v>
      </c>
      <c r="AI85" s="17" t="str">
        <f t="shared" si="16"/>
        <v>Arching</v>
      </c>
      <c r="AJ85" s="17" t="str">
        <f t="shared" si="7"/>
        <v>Arching</v>
      </c>
    </row>
    <row r="86" ht="12.75" customHeight="1">
      <c r="A86" s="11">
        <v>84.0</v>
      </c>
      <c r="B86" s="19" t="s">
        <v>115</v>
      </c>
      <c r="C86" s="19" t="s">
        <v>27</v>
      </c>
      <c r="D86" s="19" t="s">
        <v>94</v>
      </c>
      <c r="E86" s="19" t="s">
        <v>102</v>
      </c>
      <c r="F86" s="17">
        <v>2009.0</v>
      </c>
      <c r="G86" s="17">
        <v>8.3</v>
      </c>
      <c r="H86" s="16">
        <v>16.932000000000002</v>
      </c>
      <c r="I86" s="16">
        <v>15814.986000000003</v>
      </c>
      <c r="J86" s="16">
        <v>64855.702</v>
      </c>
      <c r="K86" s="16">
        <v>115.536</v>
      </c>
      <c r="L86" s="16">
        <v>1081.324</v>
      </c>
      <c r="M86" s="16">
        <v>6.723</v>
      </c>
      <c r="N86" s="16">
        <v>8.0</v>
      </c>
      <c r="O86" s="16">
        <v>5.312000000000001</v>
      </c>
      <c r="P86" s="16">
        <v>8.0</v>
      </c>
      <c r="Q86" s="17" t="str">
        <f t="shared" si="1"/>
        <v>1.506024096</v>
      </c>
      <c r="R86" s="17" t="str">
        <f t="shared" si="2"/>
        <v>0.3970588235</v>
      </c>
      <c r="S86" s="17" t="str">
        <f t="shared" si="8"/>
        <v>0.664</v>
      </c>
      <c r="T86" s="17" t="s">
        <v>30</v>
      </c>
      <c r="U86" s="17" t="s">
        <v>31</v>
      </c>
      <c r="V86" s="17" t="str">
        <f t="shared" si="84"/>
        <v>Partial discharge, Normal </v>
      </c>
      <c r="W86" s="17" t="str">
        <f t="shared" si="3"/>
        <v>1.506024096</v>
      </c>
      <c r="X86" s="17" t="str">
        <f t="shared" si="33"/>
        <v>0.3970588235</v>
      </c>
      <c r="Y86" s="17" t="str">
        <f t="shared" si="9"/>
        <v>0.664</v>
      </c>
      <c r="Z86" s="17" t="str">
        <f t="shared" ref="Z86:Z87" si="85">IF(W86&gt;1,"Discharge of Low Energy,  ",IF(W86&lt;0.1,"Thermal  Fault&gt; 300c and&lt;700 c"))</f>
        <v>Discharge of Low Energy,  </v>
      </c>
      <c r="AA86" s="17" t="s">
        <v>34</v>
      </c>
      <c r="AB86" s="17" t="s">
        <v>35</v>
      </c>
      <c r="AC86" s="17" t="str">
        <f t="shared" si="5"/>
        <v>0.3970588235</v>
      </c>
      <c r="AD86" s="18" t="str">
        <f t="shared" si="10"/>
        <v>1.506024096</v>
      </c>
      <c r="AE86" s="17" t="str">
        <f t="shared" si="6"/>
        <v>1.189944965</v>
      </c>
      <c r="AF86" s="17" t="str">
        <f t="shared" si="11"/>
        <v>1</v>
      </c>
      <c r="AG86" s="17" t="s">
        <v>30</v>
      </c>
      <c r="AH86" s="17" t="str">
        <f t="shared" si="68"/>
        <v>Arching</v>
      </c>
      <c r="AI86" s="17" t="str">
        <f t="shared" si="16"/>
        <v>Arching</v>
      </c>
      <c r="AJ86" s="17" t="str">
        <f t="shared" si="7"/>
        <v>Thermal Decomposition,corona </v>
      </c>
    </row>
    <row r="87" ht="12.75" customHeight="1">
      <c r="A87" s="11">
        <v>85.0</v>
      </c>
      <c r="B87" s="19" t="s">
        <v>116</v>
      </c>
      <c r="C87" s="19" t="s">
        <v>27</v>
      </c>
      <c r="D87" s="19" t="s">
        <v>94</v>
      </c>
      <c r="E87" s="19" t="s">
        <v>112</v>
      </c>
      <c r="F87" s="17">
        <v>2009.0</v>
      </c>
      <c r="G87" s="17">
        <v>8.0</v>
      </c>
      <c r="H87" s="16">
        <v>7.920000000000001</v>
      </c>
      <c r="I87" s="16">
        <v>14483.279999999999</v>
      </c>
      <c r="J87" s="16">
        <v>63696.40000000001</v>
      </c>
      <c r="K87" s="16">
        <v>82.24000000000001</v>
      </c>
      <c r="L87" s="16">
        <v>731.44</v>
      </c>
      <c r="M87" s="16">
        <v>2.16</v>
      </c>
      <c r="N87" s="16">
        <v>7.0</v>
      </c>
      <c r="O87" s="16">
        <v>2.08</v>
      </c>
      <c r="P87" s="16">
        <v>6.0</v>
      </c>
      <c r="Q87" s="17" t="str">
        <f t="shared" si="1"/>
        <v>2.884615385</v>
      </c>
      <c r="R87" s="17" t="str">
        <f t="shared" si="2"/>
        <v>0.2727272727</v>
      </c>
      <c r="S87" s="17" t="str">
        <f t="shared" si="8"/>
        <v>0.2971428571</v>
      </c>
      <c r="T87" s="17" t="s">
        <v>30</v>
      </c>
      <c r="U87" s="17" t="s">
        <v>31</v>
      </c>
      <c r="V87" s="17" t="str">
        <f t="shared" si="84"/>
        <v>Partial discharge, Normal </v>
      </c>
      <c r="W87" s="17" t="str">
        <f t="shared" si="3"/>
        <v>2.884615385</v>
      </c>
      <c r="X87" s="17" t="str">
        <f t="shared" si="33"/>
        <v>0.2727272727</v>
      </c>
      <c r="Y87" s="17" t="str">
        <f t="shared" si="9"/>
        <v>0.2971428571</v>
      </c>
      <c r="Z87" s="17" t="str">
        <f t="shared" si="85"/>
        <v>Discharge of Low Energy,  </v>
      </c>
      <c r="AA87" s="17" t="s">
        <v>34</v>
      </c>
      <c r="AB87" s="17" t="s">
        <v>68</v>
      </c>
      <c r="AC87" s="17" t="str">
        <f t="shared" si="5"/>
        <v>0.2727272727</v>
      </c>
      <c r="AD87" s="18" t="str">
        <f t="shared" si="10"/>
        <v>2.884615385</v>
      </c>
      <c r="AE87" s="17" t="str">
        <f t="shared" si="6"/>
        <v>2.777777778</v>
      </c>
      <c r="AF87" s="17" t="str">
        <f t="shared" si="11"/>
        <v>1.166666667</v>
      </c>
      <c r="AG87" s="17" t="s">
        <v>30</v>
      </c>
      <c r="AH87" s="17" t="str">
        <f t="shared" si="68"/>
        <v>Arching</v>
      </c>
      <c r="AI87" s="17" t="str">
        <f t="shared" si="16"/>
        <v>Arching</v>
      </c>
      <c r="AJ87" s="17" t="str">
        <f t="shared" si="7"/>
        <v>Thermal Decomposition,corona </v>
      </c>
    </row>
    <row r="88" ht="12.75" customHeight="1">
      <c r="A88" s="11">
        <v>86.0</v>
      </c>
      <c r="B88" s="17" t="s">
        <v>117</v>
      </c>
      <c r="C88" s="17" t="s">
        <v>27</v>
      </c>
      <c r="D88" s="19" t="s">
        <v>94</v>
      </c>
      <c r="E88" s="19" t="s">
        <v>112</v>
      </c>
      <c r="F88" s="17">
        <v>2009.0</v>
      </c>
      <c r="G88" s="17">
        <v>8.4</v>
      </c>
      <c r="H88" s="16">
        <v>7.224</v>
      </c>
      <c r="I88" s="16">
        <v>15828.960000000001</v>
      </c>
      <c r="J88" s="16">
        <v>66393.096</v>
      </c>
      <c r="K88" s="16">
        <v>77.11200000000001</v>
      </c>
      <c r="L88" s="16">
        <v>756.588</v>
      </c>
      <c r="M88" s="16">
        <v>12.936</v>
      </c>
      <c r="N88" s="16">
        <v>9.0</v>
      </c>
      <c r="O88" s="16">
        <v>9.0</v>
      </c>
      <c r="P88" s="16">
        <v>4.0</v>
      </c>
      <c r="Q88" s="17" t="str">
        <f t="shared" si="1"/>
        <v>0.4444444444</v>
      </c>
      <c r="R88" s="17" t="str">
        <f t="shared" si="2"/>
        <v>1.790697674</v>
      </c>
      <c r="S88" s="17" t="str">
        <f t="shared" si="8"/>
        <v>1</v>
      </c>
      <c r="T88" s="17" t="str">
        <f>IF(Q88&lt;1,"Partial discharge,Low Temprature thermal fault,")</f>
        <v>Partial discharge,Low Temprature thermal fault,</v>
      </c>
      <c r="U88" s="17" t="str">
        <f t="shared" ref="U88:U94" si="86">IF(R88&gt;1,"Thermal Fault &lt;700c, thermal fault &gt;700c ")</f>
        <v>Thermal Fault &lt;700c, thermal fault &gt;700c </v>
      </c>
      <c r="V88" s="17" t="s">
        <v>37</v>
      </c>
      <c r="W88" s="17" t="str">
        <f t="shared" si="3"/>
        <v>0.4444444444</v>
      </c>
      <c r="X88" s="17" t="str">
        <f t="shared" si="33"/>
        <v>1.790697674</v>
      </c>
      <c r="Y88" s="17" t="str">
        <f t="shared" si="9"/>
        <v>1</v>
      </c>
      <c r="Z88" s="17" t="s">
        <v>34</v>
      </c>
      <c r="AA88" s="17" t="str">
        <f t="shared" ref="AA88:AA94" si="87">IF(X88&lt;0.1,"Partial Discharges, ",IF(X88&gt;1,"Thermal  Fault &gt;300c and&lt;700 and &gt;700 c"))</f>
        <v>Thermal  Fault &gt;300c and&lt;700 and &gt;700 c</v>
      </c>
      <c r="AB88" s="17" t="s">
        <v>69</v>
      </c>
      <c r="AC88" s="17" t="str">
        <f t="shared" si="5"/>
        <v>1.790697674</v>
      </c>
      <c r="AD88" s="18" t="str">
        <f t="shared" si="10"/>
        <v>0.4444444444</v>
      </c>
      <c r="AE88" s="17" t="str">
        <f t="shared" si="6"/>
        <v>0.3092145949</v>
      </c>
      <c r="AF88" s="17" t="str">
        <f t="shared" si="11"/>
        <v>2.25</v>
      </c>
      <c r="AG88" s="17" t="str">
        <f t="shared" ref="AG88:AG94" si="88">IF(AC88&gt;1,"Thermal Decomposition, ",IF(AC88&lt;0.1,"Corona,Arching"))</f>
        <v>Thermal Decomposition, </v>
      </c>
      <c r="AH88" s="17" t="str">
        <f t="shared" si="68"/>
        <v>Thermal Decomposition, </v>
      </c>
      <c r="AI88" s="17" t="str">
        <f t="shared" si="16"/>
        <v>Arching</v>
      </c>
      <c r="AJ88" s="17" t="str">
        <f t="shared" si="7"/>
        <v>Thermal Decomposition,corona </v>
      </c>
    </row>
    <row r="89" ht="12.75" customHeight="1">
      <c r="A89" s="11">
        <v>87.0</v>
      </c>
      <c r="B89" s="17" t="s">
        <v>118</v>
      </c>
      <c r="C89" s="17" t="s">
        <v>27</v>
      </c>
      <c r="D89" s="19" t="s">
        <v>94</v>
      </c>
      <c r="E89" s="19" t="s">
        <v>102</v>
      </c>
      <c r="F89" s="17">
        <v>2009.0</v>
      </c>
      <c r="G89" s="17">
        <v>8.6</v>
      </c>
      <c r="H89" s="16">
        <v>8.514000000000001</v>
      </c>
      <c r="I89" s="16">
        <v>16347.482</v>
      </c>
      <c r="J89" s="16">
        <v>67521.094</v>
      </c>
      <c r="K89" s="16">
        <v>177.504</v>
      </c>
      <c r="L89" s="16">
        <v>1482.2099999999998</v>
      </c>
      <c r="M89" s="16">
        <v>14.792</v>
      </c>
      <c r="N89" s="16">
        <v>6.0</v>
      </c>
      <c r="O89" s="16">
        <v>8.0</v>
      </c>
      <c r="P89" s="16">
        <v>9.0</v>
      </c>
      <c r="Q89" s="17" t="str">
        <f t="shared" si="1"/>
        <v>1.125</v>
      </c>
      <c r="R89" s="17" t="str">
        <f t="shared" si="2"/>
        <v>1.737373737</v>
      </c>
      <c r="S89" s="17" t="str">
        <f t="shared" si="8"/>
        <v>1.333333333</v>
      </c>
      <c r="T89" s="17" t="s">
        <v>30</v>
      </c>
      <c r="U89" s="17" t="str">
        <f t="shared" si="86"/>
        <v>Thermal Fault &lt;700c, thermal fault &gt;700c </v>
      </c>
      <c r="V89" s="17" t="s">
        <v>37</v>
      </c>
      <c r="W89" s="17" t="str">
        <f t="shared" si="3"/>
        <v>1.125</v>
      </c>
      <c r="X89" s="17" t="str">
        <f t="shared" si="33"/>
        <v>1.737373737</v>
      </c>
      <c r="Y89" s="17" t="str">
        <f t="shared" si="9"/>
        <v>1.333333333</v>
      </c>
      <c r="Z89" s="17" t="str">
        <f t="shared" ref="Z89:Z92" si="89">IF(W89&gt;1,"Discharge of Low Energy,  ",IF(W89&lt;0.1,"Thermal  Fault&gt; 300c and&lt;700 c"))</f>
        <v>Discharge of Low Energy,  </v>
      </c>
      <c r="AA89" s="17" t="str">
        <f t="shared" si="87"/>
        <v>Thermal  Fault &gt;300c and&lt;700 and &gt;700 c</v>
      </c>
      <c r="AB89" s="17" t="str">
        <f t="shared" ref="AB89:AB90" si="90">IF(Y89&lt;0.2,"Partial Discharges, ",IF(Y89&gt;1,"Thermal  Fault  &gt;700 c"))</f>
        <v>Thermal  Fault  &gt;700 c</v>
      </c>
      <c r="AC89" s="17" t="str">
        <f t="shared" si="5"/>
        <v>1.737373737</v>
      </c>
      <c r="AD89" s="18" t="str">
        <f t="shared" si="10"/>
        <v>1.125</v>
      </c>
      <c r="AE89" s="17" t="str">
        <f t="shared" si="6"/>
        <v>0.608436993</v>
      </c>
      <c r="AF89" s="17" t="str">
        <f t="shared" si="11"/>
        <v>0.6666666667</v>
      </c>
      <c r="AG89" s="17" t="str">
        <f t="shared" si="88"/>
        <v>Thermal Decomposition, </v>
      </c>
      <c r="AH89" s="17" t="str">
        <f t="shared" si="68"/>
        <v>Arching</v>
      </c>
      <c r="AI89" s="17" t="str">
        <f t="shared" si="16"/>
        <v>Arching</v>
      </c>
      <c r="AJ89" s="17" t="str">
        <f t="shared" si="7"/>
        <v>Thermal Decomposition,corona </v>
      </c>
    </row>
    <row r="90" ht="12.75" customHeight="1">
      <c r="A90" s="11">
        <v>88.0</v>
      </c>
      <c r="B90" s="17" t="s">
        <v>119</v>
      </c>
      <c r="C90" s="17" t="s">
        <v>89</v>
      </c>
      <c r="D90" s="19" t="s">
        <v>94</v>
      </c>
      <c r="E90" s="19" t="s">
        <v>29</v>
      </c>
      <c r="F90" s="17">
        <v>2008.0</v>
      </c>
      <c r="G90" s="17">
        <v>8.5</v>
      </c>
      <c r="H90" s="16">
        <v>4.845</v>
      </c>
      <c r="I90" s="16">
        <v>16651.84</v>
      </c>
      <c r="J90" s="16">
        <v>66801.585</v>
      </c>
      <c r="K90" s="16">
        <v>88.995</v>
      </c>
      <c r="L90" s="16">
        <v>858.84</v>
      </c>
      <c r="M90" s="16">
        <v>8.159999999999998</v>
      </c>
      <c r="N90" s="16">
        <v>5.865</v>
      </c>
      <c r="O90" s="16">
        <v>7.0</v>
      </c>
      <c r="P90" s="16">
        <v>8.0</v>
      </c>
      <c r="Q90" s="17" t="str">
        <f t="shared" si="1"/>
        <v>1.142857143</v>
      </c>
      <c r="R90" s="17" t="str">
        <f t="shared" si="2"/>
        <v>1.684210526</v>
      </c>
      <c r="S90" s="17" t="str">
        <f t="shared" si="8"/>
        <v>1.193520887</v>
      </c>
      <c r="T90" s="17" t="s">
        <v>30</v>
      </c>
      <c r="U90" s="17" t="str">
        <f t="shared" si="86"/>
        <v>Thermal Fault &lt;700c, thermal fault &gt;700c </v>
      </c>
      <c r="V90" s="17" t="s">
        <v>37</v>
      </c>
      <c r="W90" s="17" t="str">
        <f t="shared" si="3"/>
        <v>1.142857143</v>
      </c>
      <c r="X90" s="17" t="str">
        <f t="shared" si="33"/>
        <v>1.684210526</v>
      </c>
      <c r="Y90" s="17" t="str">
        <f t="shared" si="9"/>
        <v>1.193520887</v>
      </c>
      <c r="Z90" s="17" t="str">
        <f t="shared" si="89"/>
        <v>Discharge of Low Energy,  </v>
      </c>
      <c r="AA90" s="17" t="str">
        <f t="shared" si="87"/>
        <v>Thermal  Fault &gt;300c and&lt;700 and &gt;700 c</v>
      </c>
      <c r="AB90" s="17" t="str">
        <f t="shared" si="90"/>
        <v>Thermal  Fault  &gt;700 c</v>
      </c>
      <c r="AC90" s="17" t="str">
        <f t="shared" si="5"/>
        <v>1.684210526</v>
      </c>
      <c r="AD90" s="18" t="str">
        <f t="shared" si="10"/>
        <v>1.142857143</v>
      </c>
      <c r="AE90" s="17" t="str">
        <f t="shared" si="6"/>
        <v>0.9803921569</v>
      </c>
      <c r="AF90" s="17" t="str">
        <f t="shared" si="11"/>
        <v>0.733125</v>
      </c>
      <c r="AG90" s="17" t="str">
        <f t="shared" si="88"/>
        <v>Thermal Decomposition, </v>
      </c>
      <c r="AH90" s="17" t="str">
        <f t="shared" si="68"/>
        <v>Arching</v>
      </c>
      <c r="AI90" s="17" t="str">
        <f t="shared" si="16"/>
        <v>Arching</v>
      </c>
      <c r="AJ90" s="17" t="str">
        <f t="shared" si="7"/>
        <v>Thermal Decomposition,corona </v>
      </c>
    </row>
    <row r="91" ht="12.75" customHeight="1">
      <c r="A91" s="11">
        <v>89.0</v>
      </c>
      <c r="B91" s="17" t="s">
        <v>120</v>
      </c>
      <c r="C91" s="17" t="s">
        <v>89</v>
      </c>
      <c r="D91" s="19" t="s">
        <v>94</v>
      </c>
      <c r="E91" s="19" t="s">
        <v>29</v>
      </c>
      <c r="F91" s="17">
        <v>2008.0</v>
      </c>
      <c r="G91" s="17">
        <v>8.2</v>
      </c>
      <c r="H91" s="16">
        <v>4.263999999999999</v>
      </c>
      <c r="I91" s="16">
        <v>15529.898</v>
      </c>
      <c r="J91" s="16">
        <v>63413.469999999994</v>
      </c>
      <c r="K91" s="16">
        <v>214.266</v>
      </c>
      <c r="L91" s="16">
        <v>1676.2439999999997</v>
      </c>
      <c r="M91" s="16">
        <v>4.51</v>
      </c>
      <c r="N91" s="16">
        <v>8.0</v>
      </c>
      <c r="O91" s="16">
        <v>6.0</v>
      </c>
      <c r="P91" s="16">
        <v>11.0</v>
      </c>
      <c r="Q91" s="17" t="str">
        <f t="shared" si="1"/>
        <v>1.833333333</v>
      </c>
      <c r="R91" s="17" t="str">
        <f t="shared" si="2"/>
        <v>1.057692308</v>
      </c>
      <c r="S91" s="17" t="str">
        <f t="shared" si="8"/>
        <v>0.75</v>
      </c>
      <c r="T91" s="17" t="s">
        <v>30</v>
      </c>
      <c r="U91" s="17" t="str">
        <f t="shared" si="86"/>
        <v>Thermal Fault &lt;700c, thermal fault &gt;700c </v>
      </c>
      <c r="V91" s="17" t="str">
        <f>IF(S91&lt;1,"Partial discharge, Normal ",IF(S91&gt;3,"Arching,Thermal  Fault &gt; 700 c"))</f>
        <v>Partial discharge, Normal </v>
      </c>
      <c r="W91" s="17" t="str">
        <f t="shared" si="3"/>
        <v>1.833333333</v>
      </c>
      <c r="X91" s="17" t="str">
        <f t="shared" si="33"/>
        <v>1.057692308</v>
      </c>
      <c r="Y91" s="17" t="str">
        <f t="shared" si="9"/>
        <v>0.75</v>
      </c>
      <c r="Z91" s="17" t="str">
        <f t="shared" si="89"/>
        <v>Discharge of Low Energy,  </v>
      </c>
      <c r="AA91" s="17" t="str">
        <f t="shared" si="87"/>
        <v>Thermal  Fault &gt;300c and&lt;700 and &gt;700 c</v>
      </c>
      <c r="AB91" s="17" t="s">
        <v>107</v>
      </c>
      <c r="AC91" s="17" t="str">
        <f t="shared" si="5"/>
        <v>1.057692308</v>
      </c>
      <c r="AD91" s="18" t="str">
        <f t="shared" si="10"/>
        <v>1.833333333</v>
      </c>
      <c r="AE91" s="17" t="str">
        <f t="shared" si="6"/>
        <v>2.43902439</v>
      </c>
      <c r="AF91" s="17" t="str">
        <f t="shared" si="11"/>
        <v>0.7272727273</v>
      </c>
      <c r="AG91" s="17" t="str">
        <f t="shared" si="88"/>
        <v>Thermal Decomposition, </v>
      </c>
      <c r="AH91" s="17" t="str">
        <f t="shared" si="68"/>
        <v>Arching</v>
      </c>
      <c r="AI91" s="17" t="str">
        <f t="shared" si="16"/>
        <v>Arching</v>
      </c>
      <c r="AJ91" s="17" t="str">
        <f t="shared" si="7"/>
        <v>Thermal Decomposition,corona </v>
      </c>
    </row>
    <row r="92" ht="12.75" customHeight="1">
      <c r="A92" s="11">
        <v>90.0</v>
      </c>
      <c r="B92" s="17">
        <v>2010305.0</v>
      </c>
      <c r="C92" s="17" t="s">
        <v>27</v>
      </c>
      <c r="D92" s="17" t="s">
        <v>79</v>
      </c>
      <c r="E92" s="19" t="s">
        <v>91</v>
      </c>
      <c r="F92" s="17">
        <v>1997.0</v>
      </c>
      <c r="G92" s="17">
        <v>8.4</v>
      </c>
      <c r="H92" s="16">
        <v>7.140000000000001</v>
      </c>
      <c r="I92" s="16">
        <v>16665.684</v>
      </c>
      <c r="J92" s="16">
        <v>64769.29200000001</v>
      </c>
      <c r="K92" s="16">
        <v>181.27200000000002</v>
      </c>
      <c r="L92" s="16">
        <v>1550.892</v>
      </c>
      <c r="M92" s="16">
        <v>7.896</v>
      </c>
      <c r="N92" s="16">
        <v>9.0</v>
      </c>
      <c r="O92" s="16">
        <v>9.0</v>
      </c>
      <c r="P92" s="16">
        <v>12.0</v>
      </c>
      <c r="Q92" s="17" t="str">
        <f t="shared" si="1"/>
        <v>1.333333333</v>
      </c>
      <c r="R92" s="17" t="str">
        <f t="shared" si="2"/>
        <v>1.105882353</v>
      </c>
      <c r="S92" s="17" t="str">
        <f t="shared" si="8"/>
        <v>1</v>
      </c>
      <c r="T92" s="17" t="s">
        <v>30</v>
      </c>
      <c r="U92" s="17" t="str">
        <f t="shared" si="86"/>
        <v>Thermal Fault &lt;700c, thermal fault &gt;700c </v>
      </c>
      <c r="V92" s="17" t="s">
        <v>37</v>
      </c>
      <c r="W92" s="17" t="str">
        <f t="shared" si="3"/>
        <v>1.333333333</v>
      </c>
      <c r="X92" s="17" t="str">
        <f t="shared" si="33"/>
        <v>1.105882353</v>
      </c>
      <c r="Y92" s="17" t="str">
        <f t="shared" si="9"/>
        <v>1</v>
      </c>
      <c r="Z92" s="17" t="str">
        <f t="shared" si="89"/>
        <v>Discharge of Low Energy,  </v>
      </c>
      <c r="AA92" s="17" t="str">
        <f t="shared" si="87"/>
        <v>Thermal  Fault &gt;300c and&lt;700 and &gt;700 c</v>
      </c>
      <c r="AB92" s="17" t="s">
        <v>107</v>
      </c>
      <c r="AC92" s="17" t="str">
        <f t="shared" si="5"/>
        <v>1.105882353</v>
      </c>
      <c r="AD92" s="18" t="str">
        <f t="shared" si="10"/>
        <v>1.333333333</v>
      </c>
      <c r="AE92" s="17" t="str">
        <f t="shared" si="6"/>
        <v>1.519756839</v>
      </c>
      <c r="AF92" s="17" t="str">
        <f t="shared" si="11"/>
        <v>0.75</v>
      </c>
      <c r="AG92" s="17" t="str">
        <f t="shared" si="88"/>
        <v>Thermal Decomposition, </v>
      </c>
      <c r="AH92" s="17" t="str">
        <f t="shared" si="68"/>
        <v>Arching</v>
      </c>
      <c r="AI92" s="17" t="str">
        <f t="shared" si="16"/>
        <v>Arching</v>
      </c>
      <c r="AJ92" s="17" t="str">
        <f t="shared" si="7"/>
        <v>Thermal Decomposition,corona </v>
      </c>
    </row>
    <row r="93" ht="12.75" customHeight="1">
      <c r="A93" s="11">
        <v>91.0</v>
      </c>
      <c r="B93" s="17">
        <v>2010306.0</v>
      </c>
      <c r="C93" s="17" t="s">
        <v>27</v>
      </c>
      <c r="D93" s="17" t="s">
        <v>79</v>
      </c>
      <c r="E93" s="19" t="s">
        <v>91</v>
      </c>
      <c r="F93" s="17">
        <v>1997.0</v>
      </c>
      <c r="G93" s="17">
        <v>8.2</v>
      </c>
      <c r="H93" s="16">
        <v>1.2299999999999998</v>
      </c>
      <c r="I93" s="16">
        <v>15347.775999999998</v>
      </c>
      <c r="J93" s="16">
        <v>64312.02599999999</v>
      </c>
      <c r="K93" s="16">
        <v>172.36399999999998</v>
      </c>
      <c r="L93" s="16">
        <v>1601.214</v>
      </c>
      <c r="M93" s="16">
        <v>10.085999999999999</v>
      </c>
      <c r="N93" s="16">
        <v>7.0</v>
      </c>
      <c r="O93" s="16">
        <v>7.0</v>
      </c>
      <c r="P93" s="16">
        <v>4.0</v>
      </c>
      <c r="Q93" s="17" t="str">
        <f t="shared" si="1"/>
        <v>0.5714285714</v>
      </c>
      <c r="R93" s="17" t="str">
        <f t="shared" si="2"/>
        <v>8.2</v>
      </c>
      <c r="S93" s="17" t="str">
        <f t="shared" si="8"/>
        <v>1</v>
      </c>
      <c r="T93" s="17" t="str">
        <f>IF(Q93&lt;1,"Partial discharge,Low Temprature thermal fault,")</f>
        <v>Partial discharge,Low Temprature thermal fault,</v>
      </c>
      <c r="U93" s="17" t="str">
        <f t="shared" si="86"/>
        <v>Thermal Fault &lt;700c, thermal fault &gt;700c </v>
      </c>
      <c r="V93" s="17" t="s">
        <v>37</v>
      </c>
      <c r="W93" s="17" t="str">
        <f t="shared" si="3"/>
        <v>0.5714285714</v>
      </c>
      <c r="X93" s="17" t="str">
        <f t="shared" si="33"/>
        <v>8.2</v>
      </c>
      <c r="Y93" s="17" t="str">
        <f t="shared" si="9"/>
        <v>1</v>
      </c>
      <c r="Z93" s="17" t="s">
        <v>34</v>
      </c>
      <c r="AA93" s="17" t="str">
        <f t="shared" si="87"/>
        <v>Thermal  Fault &gt;300c and&lt;700 and &gt;700 c</v>
      </c>
      <c r="AB93" s="17" t="s">
        <v>107</v>
      </c>
      <c r="AC93" s="17" t="str">
        <f t="shared" si="5"/>
        <v>8.2</v>
      </c>
      <c r="AD93" s="18" t="str">
        <f t="shared" si="10"/>
        <v>0.5714285714</v>
      </c>
      <c r="AE93" s="17" t="str">
        <f t="shared" si="6"/>
        <v>0.3965893317</v>
      </c>
      <c r="AF93" s="17" t="str">
        <f t="shared" si="11"/>
        <v>1.75</v>
      </c>
      <c r="AG93" s="17" t="str">
        <f t="shared" si="88"/>
        <v>Thermal Decomposition, </v>
      </c>
      <c r="AH93" s="17" t="str">
        <f t="shared" si="68"/>
        <v>Thermal Decomposition, </v>
      </c>
      <c r="AI93" s="17" t="str">
        <f t="shared" si="16"/>
        <v>Arching</v>
      </c>
      <c r="AJ93" s="17" t="str">
        <f t="shared" si="7"/>
        <v>Thermal Decomposition,corona </v>
      </c>
    </row>
    <row r="94" ht="12.75" customHeight="1">
      <c r="A94" s="11">
        <v>92.0</v>
      </c>
      <c r="B94" s="17" t="s">
        <v>121</v>
      </c>
      <c r="C94" s="17" t="s">
        <v>27</v>
      </c>
      <c r="D94" s="19" t="s">
        <v>94</v>
      </c>
      <c r="E94" s="19" t="s">
        <v>122</v>
      </c>
      <c r="F94" s="17">
        <v>2008.0</v>
      </c>
      <c r="G94" s="17">
        <v>8.6</v>
      </c>
      <c r="H94" s="16">
        <v>2.838</v>
      </c>
      <c r="I94" s="16">
        <v>16264.148000000001</v>
      </c>
      <c r="J94" s="16">
        <v>64729.96399999999</v>
      </c>
      <c r="K94" s="16">
        <v>235.898</v>
      </c>
      <c r="L94" s="16">
        <v>3808.2520000000004</v>
      </c>
      <c r="M94" s="16">
        <v>13.33</v>
      </c>
      <c r="N94" s="16">
        <v>14.0</v>
      </c>
      <c r="O94" s="16">
        <v>16.082</v>
      </c>
      <c r="P94" s="16">
        <v>20.0</v>
      </c>
      <c r="Q94" s="17" t="str">
        <f t="shared" si="1"/>
        <v>1.243626415</v>
      </c>
      <c r="R94" s="17" t="str">
        <f t="shared" si="2"/>
        <v>4.696969697</v>
      </c>
      <c r="S94" s="17" t="str">
        <f t="shared" si="8"/>
        <v>1.148714286</v>
      </c>
      <c r="T94" s="17" t="s">
        <v>30</v>
      </c>
      <c r="U94" s="17" t="str">
        <f t="shared" si="86"/>
        <v>Thermal Fault &lt;700c, thermal fault &gt;700c </v>
      </c>
      <c r="V94" s="17" t="s">
        <v>37</v>
      </c>
      <c r="W94" s="17" t="str">
        <f t="shared" si="3"/>
        <v>1.243626415</v>
      </c>
      <c r="X94" s="17" t="str">
        <f t="shared" si="33"/>
        <v>4.696969697</v>
      </c>
      <c r="Y94" s="17" t="str">
        <f t="shared" si="9"/>
        <v>1.148714286</v>
      </c>
      <c r="Z94" s="17" t="str">
        <f>IF(W94&gt;1,"Discharge of Low Energy,  ",IF(W94&lt;0.1,"Thermal  Fault&gt; 300c and&lt;700 c"))</f>
        <v>Discharge of Low Energy,  </v>
      </c>
      <c r="AA94" s="17" t="str">
        <f t="shared" si="87"/>
        <v>Thermal  Fault &gt;300c and&lt;700 and &gt;700 c</v>
      </c>
      <c r="AB94" s="17" t="str">
        <f>IF(Y94&lt;0.2,"Partial Discharges, ",IF(Y94&gt;1,"Thermal  Fault  &gt;700 c"))</f>
        <v>Thermal  Fault  &gt;700 c</v>
      </c>
      <c r="AC94" s="17" t="str">
        <f t="shared" si="5"/>
        <v>4.696969697</v>
      </c>
      <c r="AD94" s="18" t="str">
        <f t="shared" si="10"/>
        <v>1.243626415</v>
      </c>
      <c r="AE94" s="17" t="str">
        <f t="shared" si="6"/>
        <v>1.500375094</v>
      </c>
      <c r="AF94" s="17" t="str">
        <f t="shared" si="11"/>
        <v>0.7</v>
      </c>
      <c r="AG94" s="17" t="str">
        <f t="shared" si="88"/>
        <v>Thermal Decomposition, </v>
      </c>
      <c r="AH94" s="17" t="str">
        <f t="shared" si="68"/>
        <v>Arching</v>
      </c>
      <c r="AI94" s="17" t="str">
        <f t="shared" si="16"/>
        <v>Arching</v>
      </c>
      <c r="AJ94" s="17" t="str">
        <f t="shared" si="7"/>
        <v>Thermal Decomposition,corona </v>
      </c>
    </row>
    <row r="95" ht="12.75" customHeight="1">
      <c r="A95" s="11">
        <v>93.0</v>
      </c>
      <c r="B95" s="17" t="s">
        <v>123</v>
      </c>
      <c r="C95" s="17" t="s">
        <v>27</v>
      </c>
      <c r="D95" s="19" t="s">
        <v>94</v>
      </c>
      <c r="E95" s="19" t="s">
        <v>112</v>
      </c>
      <c r="F95" s="17">
        <v>2009.0</v>
      </c>
      <c r="G95" s="17">
        <v>8.2</v>
      </c>
      <c r="H95" s="16">
        <v>13.530000000000001</v>
      </c>
      <c r="I95" s="16">
        <v>16380.975999999999</v>
      </c>
      <c r="J95" s="16">
        <v>62530.084</v>
      </c>
      <c r="K95" s="16">
        <v>204.75399999999996</v>
      </c>
      <c r="L95" s="16">
        <v>1704.6979999999999</v>
      </c>
      <c r="M95" s="16">
        <v>6.805999999999999</v>
      </c>
      <c r="N95" s="16">
        <v>9.0</v>
      </c>
      <c r="O95" s="16">
        <v>9.0</v>
      </c>
      <c r="P95" s="16">
        <v>8.0</v>
      </c>
      <c r="Q95" s="17" t="str">
        <f t="shared" si="1"/>
        <v>0.8888888889</v>
      </c>
      <c r="R95" s="17" t="str">
        <f t="shared" si="2"/>
        <v>0.503030303</v>
      </c>
      <c r="S95" s="17" t="str">
        <f t="shared" si="8"/>
        <v>1</v>
      </c>
      <c r="T95" s="17" t="str">
        <f>IF(Q95&lt;1,"Partial discharge,Low Temprature thermal fault,")</f>
        <v>Partial discharge,Low Temprature thermal fault,</v>
      </c>
      <c r="U95" s="17" t="s">
        <v>31</v>
      </c>
      <c r="V95" s="17" t="s">
        <v>37</v>
      </c>
      <c r="W95" s="17" t="str">
        <f t="shared" si="3"/>
        <v>0.8888888889</v>
      </c>
      <c r="X95" s="17" t="str">
        <f t="shared" si="33"/>
        <v>0.503030303</v>
      </c>
      <c r="Y95" s="17" t="str">
        <f t="shared" si="9"/>
        <v>1</v>
      </c>
      <c r="Z95" s="17" t="s">
        <v>34</v>
      </c>
      <c r="AA95" s="17" t="s">
        <v>34</v>
      </c>
      <c r="AB95" s="17" t="s">
        <v>107</v>
      </c>
      <c r="AC95" s="17" t="str">
        <f t="shared" si="5"/>
        <v>0.503030303</v>
      </c>
      <c r="AD95" s="18" t="str">
        <f t="shared" si="10"/>
        <v>0.8888888889</v>
      </c>
      <c r="AE95" s="17" t="str">
        <f t="shared" si="6"/>
        <v>1.175433441</v>
      </c>
      <c r="AF95" s="17" t="str">
        <f t="shared" si="11"/>
        <v>1.125</v>
      </c>
      <c r="AG95" s="17" t="s">
        <v>30</v>
      </c>
      <c r="AH95" s="17" t="str">
        <f t="shared" si="68"/>
        <v>Arching</v>
      </c>
      <c r="AI95" s="17" t="str">
        <f t="shared" si="16"/>
        <v>Arching</v>
      </c>
      <c r="AJ95" s="17" t="str">
        <f t="shared" si="7"/>
        <v>Thermal Decomposition,corona </v>
      </c>
    </row>
    <row r="96" ht="12.75" customHeight="1">
      <c r="A96" s="11">
        <v>94.0</v>
      </c>
      <c r="B96" s="17" t="s">
        <v>124</v>
      </c>
      <c r="C96" s="17" t="s">
        <v>27</v>
      </c>
      <c r="D96" s="19" t="s">
        <v>94</v>
      </c>
      <c r="E96" s="19" t="s">
        <v>112</v>
      </c>
      <c r="F96" s="17">
        <v>2009.0</v>
      </c>
      <c r="G96" s="17">
        <v>8.1</v>
      </c>
      <c r="H96" s="16">
        <v>13.041</v>
      </c>
      <c r="I96" s="16">
        <v>15387.327</v>
      </c>
      <c r="J96" s="16">
        <v>62300.50199999999</v>
      </c>
      <c r="K96" s="16">
        <v>202.986</v>
      </c>
      <c r="L96" s="16">
        <v>2066.877</v>
      </c>
      <c r="M96" s="16">
        <v>6.318</v>
      </c>
      <c r="N96" s="16">
        <v>2.5109999999999997</v>
      </c>
      <c r="O96" s="16">
        <v>8.0</v>
      </c>
      <c r="P96" s="16">
        <v>9.0</v>
      </c>
      <c r="Q96" s="17" t="str">
        <f t="shared" si="1"/>
        <v>1.125</v>
      </c>
      <c r="R96" s="17" t="str">
        <f t="shared" si="2"/>
        <v>0.4844720497</v>
      </c>
      <c r="S96" s="17" t="str">
        <f t="shared" si="8"/>
        <v>3.185981681</v>
      </c>
      <c r="T96" s="17" t="s">
        <v>30</v>
      </c>
      <c r="U96" s="17" t="s">
        <v>31</v>
      </c>
      <c r="V96" s="17" t="str">
        <f>IF(S96&lt;1,"Partial discharge, Normal ",IF(S96&gt;3,"Arching,Thermal  Fault &gt; 700 c"))</f>
        <v>Arching,Thermal  Fault &gt; 700 c</v>
      </c>
      <c r="W96" s="17" t="str">
        <f t="shared" si="3"/>
        <v>1.125</v>
      </c>
      <c r="X96" s="17" t="str">
        <f t="shared" si="33"/>
        <v>0.4844720497</v>
      </c>
      <c r="Y96" s="17" t="str">
        <f t="shared" si="9"/>
        <v>3.185981681</v>
      </c>
      <c r="Z96" s="17" t="str">
        <f>IF(W96&gt;1,"Discharge of Low Energy,  ",IF(W96&lt;0.1,"Thermal  Fault&gt; 300c and&lt;700 c"))</f>
        <v>Discharge of Low Energy,  </v>
      </c>
      <c r="AA96" s="17" t="s">
        <v>34</v>
      </c>
      <c r="AB96" s="17" t="str">
        <f t="shared" ref="AB96:AB98" si="91">IF(Y96&lt;0.2,"Partial Discharges, ",IF(Y96&gt;1,"Thermal  Fault  &gt;700 c"))</f>
        <v>Thermal  Fault  &gt;700 c</v>
      </c>
      <c r="AC96" s="17" t="str">
        <f t="shared" si="5"/>
        <v>0.4844720497</v>
      </c>
      <c r="AD96" s="18" t="str">
        <f t="shared" si="10"/>
        <v>1.125</v>
      </c>
      <c r="AE96" s="17" t="str">
        <f t="shared" si="6"/>
        <v>1.424501425</v>
      </c>
      <c r="AF96" s="17" t="str">
        <f t="shared" si="11"/>
        <v>0.279</v>
      </c>
      <c r="AG96" s="17" t="s">
        <v>30</v>
      </c>
      <c r="AH96" s="17" t="str">
        <f t="shared" si="68"/>
        <v>Arching</v>
      </c>
      <c r="AI96" s="17" t="str">
        <f t="shared" si="16"/>
        <v>Arching</v>
      </c>
      <c r="AJ96" s="17" t="str">
        <f t="shared" si="7"/>
        <v>Arching</v>
      </c>
    </row>
    <row r="97" ht="12.75" customHeight="1">
      <c r="A97" s="11">
        <v>95.0</v>
      </c>
      <c r="B97" s="17" t="s">
        <v>125</v>
      </c>
      <c r="C97" s="17" t="s">
        <v>99</v>
      </c>
      <c r="D97" s="19" t="s">
        <v>105</v>
      </c>
      <c r="E97" s="19" t="s">
        <v>106</v>
      </c>
      <c r="F97" s="17">
        <v>2009.0</v>
      </c>
      <c r="G97" s="17">
        <v>8.5</v>
      </c>
      <c r="H97" s="16">
        <v>6.715</v>
      </c>
      <c r="I97" s="16">
        <v>15889.135000000002</v>
      </c>
      <c r="J97" s="16">
        <v>67443.59</v>
      </c>
      <c r="K97" s="16">
        <v>58.225</v>
      </c>
      <c r="L97" s="16">
        <v>554.965</v>
      </c>
      <c r="M97" s="16">
        <v>8.67</v>
      </c>
      <c r="N97" s="16">
        <v>7.0</v>
      </c>
      <c r="O97" s="16">
        <v>8.33</v>
      </c>
      <c r="P97" s="16">
        <v>5.0</v>
      </c>
      <c r="Q97" s="17" t="str">
        <f t="shared" si="1"/>
        <v>0.600240096</v>
      </c>
      <c r="R97" s="17" t="str">
        <f t="shared" si="2"/>
        <v>1.291139241</v>
      </c>
      <c r="S97" s="17" t="str">
        <f t="shared" si="8"/>
        <v>1.19</v>
      </c>
      <c r="T97" s="17" t="str">
        <f t="shared" ref="T97:T98" si="92">IF(Q97&lt;1,"Partial discharge,Low Temprature thermal fault,")</f>
        <v>Partial discharge,Low Temprature thermal fault,</v>
      </c>
      <c r="U97" s="17" t="str">
        <f>IF(R97&gt;1,"Thermal Fault &lt;700c, thermal fault &gt;700c ")</f>
        <v>Thermal Fault &lt;700c, thermal fault &gt;700c </v>
      </c>
      <c r="V97" s="17" t="s">
        <v>37</v>
      </c>
      <c r="W97" s="17" t="str">
        <f t="shared" si="3"/>
        <v>0.600240096</v>
      </c>
      <c r="X97" s="17" t="str">
        <f t="shared" si="33"/>
        <v>1.291139241</v>
      </c>
      <c r="Y97" s="17" t="str">
        <f t="shared" si="9"/>
        <v>1.19</v>
      </c>
      <c r="Z97" s="17" t="s">
        <v>34</v>
      </c>
      <c r="AA97" s="17" t="str">
        <f>IF(X97&lt;0.1,"Partial Discharges, ",IF(X97&gt;1,"Thermal  Fault &gt;300c and&lt;700 and &gt;700 c"))</f>
        <v>Thermal  Fault &gt;300c and&lt;700 and &gt;700 c</v>
      </c>
      <c r="AB97" s="17" t="str">
        <f t="shared" si="91"/>
        <v>Thermal  Fault  &gt;700 c</v>
      </c>
      <c r="AC97" s="17" t="str">
        <f t="shared" si="5"/>
        <v>1.291139241</v>
      </c>
      <c r="AD97" s="18" t="str">
        <f t="shared" si="10"/>
        <v>0.600240096</v>
      </c>
      <c r="AE97" s="17" t="str">
        <f t="shared" si="6"/>
        <v>0.5767012687</v>
      </c>
      <c r="AF97" s="17" t="str">
        <f t="shared" si="11"/>
        <v>1.4</v>
      </c>
      <c r="AG97" s="17" t="str">
        <f>IF(AC97&gt;1,"Thermal Decomposition, ",IF(AC97&lt;0.1,"Corona,Arching"))</f>
        <v>Thermal Decomposition, </v>
      </c>
      <c r="AH97" s="17" t="str">
        <f t="shared" si="68"/>
        <v>Thermal Decomposition, </v>
      </c>
      <c r="AI97" s="17" t="str">
        <f t="shared" si="16"/>
        <v>Arching</v>
      </c>
      <c r="AJ97" s="17" t="str">
        <f t="shared" si="7"/>
        <v>Thermal Decomposition,corona </v>
      </c>
    </row>
    <row r="98" ht="12.75" customHeight="1">
      <c r="A98" s="11">
        <v>96.0</v>
      </c>
      <c r="B98" s="17" t="s">
        <v>126</v>
      </c>
      <c r="C98" s="17" t="s">
        <v>99</v>
      </c>
      <c r="D98" s="19" t="s">
        <v>105</v>
      </c>
      <c r="E98" s="19" t="s">
        <v>106</v>
      </c>
      <c r="F98" s="17">
        <v>2009.0</v>
      </c>
      <c r="G98" s="17">
        <v>8.4</v>
      </c>
      <c r="H98" s="16">
        <v>6.804</v>
      </c>
      <c r="I98" s="16">
        <v>15326.052000000001</v>
      </c>
      <c r="J98" s="16">
        <v>66178.644</v>
      </c>
      <c r="K98" s="16">
        <v>135.15599999999998</v>
      </c>
      <c r="L98" s="16">
        <v>1290.4080000000001</v>
      </c>
      <c r="M98" s="16">
        <v>6.3</v>
      </c>
      <c r="N98" s="16">
        <v>16.884</v>
      </c>
      <c r="O98" s="16">
        <v>34.104</v>
      </c>
      <c r="P98" s="16">
        <v>6.0</v>
      </c>
      <c r="Q98" s="17" t="str">
        <f t="shared" si="1"/>
        <v>0.1759324419</v>
      </c>
      <c r="R98" s="17" t="str">
        <f t="shared" si="2"/>
        <v>0.9259259259</v>
      </c>
      <c r="S98" s="17" t="str">
        <f t="shared" si="8"/>
        <v>2.019900498</v>
      </c>
      <c r="T98" s="17" t="str">
        <f t="shared" si="92"/>
        <v>Partial discharge,Low Temprature thermal fault,</v>
      </c>
      <c r="U98" s="17" t="s">
        <v>31</v>
      </c>
      <c r="V98" s="17" t="s">
        <v>37</v>
      </c>
      <c r="W98" s="17" t="str">
        <f t="shared" si="3"/>
        <v>0.1759324419</v>
      </c>
      <c r="X98" s="17" t="str">
        <f t="shared" si="33"/>
        <v>0.9259259259</v>
      </c>
      <c r="Y98" s="17" t="str">
        <f t="shared" si="9"/>
        <v>2.019900498</v>
      </c>
      <c r="Z98" s="17" t="s">
        <v>34</v>
      </c>
      <c r="AA98" s="17" t="s">
        <v>34</v>
      </c>
      <c r="AB98" s="17" t="str">
        <f t="shared" si="91"/>
        <v>Thermal  Fault  &gt;700 c</v>
      </c>
      <c r="AC98" s="17" t="str">
        <f t="shared" si="5"/>
        <v>0.9259259259</v>
      </c>
      <c r="AD98" s="18" t="str">
        <f t="shared" si="10"/>
        <v>0.1759324419</v>
      </c>
      <c r="AE98" s="17" t="str">
        <f t="shared" si="6"/>
        <v>0.9523809524</v>
      </c>
      <c r="AF98" s="17" t="str">
        <f t="shared" si="11"/>
        <v>2.814</v>
      </c>
      <c r="AG98" s="17" t="s">
        <v>30</v>
      </c>
      <c r="AH98" s="17" t="str">
        <f t="shared" si="68"/>
        <v>Thermal Decomposition, </v>
      </c>
      <c r="AI98" s="17" t="str">
        <f t="shared" si="16"/>
        <v>Arching</v>
      </c>
      <c r="AJ98" s="17" t="str">
        <f t="shared" si="7"/>
        <v>Thermal Decomposition,corona </v>
      </c>
    </row>
    <row r="99" ht="12.75" customHeight="1">
      <c r="A99" s="11">
        <v>97.0</v>
      </c>
      <c r="B99" s="19" t="s">
        <v>127</v>
      </c>
      <c r="C99" s="19" t="s">
        <v>128</v>
      </c>
      <c r="D99" s="19" t="s">
        <v>129</v>
      </c>
      <c r="E99" s="19" t="s">
        <v>130</v>
      </c>
      <c r="F99" s="17">
        <v>2014.0</v>
      </c>
      <c r="G99" s="17">
        <v>8.4</v>
      </c>
      <c r="H99" s="16">
        <v>1.596</v>
      </c>
      <c r="I99" s="16">
        <v>16711.464</v>
      </c>
      <c r="J99" s="16">
        <v>64650.18</v>
      </c>
      <c r="K99" s="16">
        <v>139.02</v>
      </c>
      <c r="L99" s="16">
        <v>1548.7920000000001</v>
      </c>
      <c r="M99" s="17">
        <v>5.0</v>
      </c>
      <c r="N99" s="17">
        <v>11.0</v>
      </c>
      <c r="O99" s="16">
        <v>8.0</v>
      </c>
      <c r="P99" s="17">
        <v>8.0</v>
      </c>
      <c r="Q99" s="17" t="str">
        <f t="shared" si="1"/>
        <v>1</v>
      </c>
      <c r="R99" s="17" t="str">
        <f t="shared" si="2"/>
        <v>3.13283208</v>
      </c>
      <c r="S99" s="17" t="str">
        <f t="shared" si="8"/>
        <v>0.7272727273</v>
      </c>
      <c r="T99" s="17" t="s">
        <v>30</v>
      </c>
      <c r="U99" s="17" t="str">
        <f t="shared" ref="U99:U100" si="93">IF(R99&lt;0.1, "Partial discharge", "Low temperature thermal ")</f>
        <v>Low temperature thermal </v>
      </c>
      <c r="V99" s="17" t="str">
        <f t="shared" ref="V99:V103" si="94">IF(S99&lt;1,"Partial discharge, Normal ",IF(S99&gt;3,"Arching,Thermal  Fault &gt; 700 c"))</f>
        <v>Partial discharge, Normal </v>
      </c>
      <c r="W99" s="17" t="str">
        <f t="shared" si="3"/>
        <v>1</v>
      </c>
      <c r="X99" s="17" t="str">
        <f t="shared" si="33"/>
        <v>3.13283208</v>
      </c>
      <c r="Y99" s="17" t="str">
        <f t="shared" si="9"/>
        <v>0.7272727273</v>
      </c>
      <c r="Z99" s="17" t="s">
        <v>34</v>
      </c>
      <c r="AA99" s="17" t="str">
        <f t="shared" ref="AA99:AA100" si="95">IF(X99&lt;0.1,"Partial Discharges, ",IF(X99&gt;1,"Thermal  Fault &gt;300c and&lt;700 and &gt;700 c"))</f>
        <v>Thermal  Fault &gt;300c and&lt;700 and &gt;700 c</v>
      </c>
      <c r="AB99" s="17" t="s">
        <v>107</v>
      </c>
      <c r="AC99" s="17" t="str">
        <f t="shared" si="5"/>
        <v>3.13283208</v>
      </c>
      <c r="AD99" s="18" t="str">
        <f t="shared" si="10"/>
        <v>1</v>
      </c>
      <c r="AE99" s="17" t="str">
        <f t="shared" si="6"/>
        <v>1.6</v>
      </c>
      <c r="AF99" s="17" t="str">
        <f t="shared" si="11"/>
        <v>1.375</v>
      </c>
      <c r="AG99" s="17" t="str">
        <f t="shared" ref="AG99:AG100" si="96">IF(AC99&gt;1,"Thermal Decomposition, ",IF(AC99&lt;0.1,"Corona,Arching"))</f>
        <v>Thermal Decomposition, </v>
      </c>
      <c r="AH99" s="17" t="str">
        <f t="shared" si="68"/>
        <v>Arching</v>
      </c>
      <c r="AI99" s="17" t="str">
        <f t="shared" si="16"/>
        <v>Arching</v>
      </c>
      <c r="AJ99" s="17" t="str">
        <f t="shared" si="7"/>
        <v>Thermal Decomposition,corona </v>
      </c>
    </row>
    <row r="100" ht="12.75" customHeight="1">
      <c r="A100" s="11">
        <v>98.0</v>
      </c>
      <c r="B100" s="19" t="s">
        <v>131</v>
      </c>
      <c r="C100" s="19" t="s">
        <v>128</v>
      </c>
      <c r="D100" s="19" t="s">
        <v>129</v>
      </c>
      <c r="E100" s="19" t="s">
        <v>130</v>
      </c>
      <c r="F100" s="17">
        <v>2017.0</v>
      </c>
      <c r="G100" s="17">
        <v>8.6</v>
      </c>
      <c r="H100" s="16">
        <v>1.376</v>
      </c>
      <c r="I100" s="15">
        <v>16747.811999999998</v>
      </c>
      <c r="J100" s="15">
        <v>67333.614</v>
      </c>
      <c r="K100" s="15">
        <v>93.568</v>
      </c>
      <c r="L100" s="15">
        <v>932.1540000000001</v>
      </c>
      <c r="M100" s="17">
        <v>8.0</v>
      </c>
      <c r="N100" s="17">
        <v>22.0</v>
      </c>
      <c r="O100" s="16">
        <v>3.7840000000000007</v>
      </c>
      <c r="P100" s="17">
        <v>13.0</v>
      </c>
      <c r="Q100" s="17" t="str">
        <f t="shared" si="1"/>
        <v>3.43551797</v>
      </c>
      <c r="R100" s="17" t="str">
        <f t="shared" si="2"/>
        <v>5.813953488</v>
      </c>
      <c r="S100" s="17" t="str">
        <f t="shared" si="8"/>
        <v>0.172</v>
      </c>
      <c r="T100" s="17" t="s">
        <v>30</v>
      </c>
      <c r="U100" s="17" t="str">
        <f t="shared" si="93"/>
        <v>Low temperature thermal </v>
      </c>
      <c r="V100" s="17" t="str">
        <f t="shared" si="94"/>
        <v>Partial discharge, Normal </v>
      </c>
      <c r="W100" s="17" t="str">
        <f t="shared" si="3"/>
        <v>3.43551797</v>
      </c>
      <c r="X100" s="17" t="str">
        <f t="shared" si="33"/>
        <v>5.813953488</v>
      </c>
      <c r="Y100" s="17" t="str">
        <f t="shared" si="9"/>
        <v>0.172</v>
      </c>
      <c r="Z100" s="17" t="str">
        <f>IF(W100&gt;1,"Discharge of Low Energy,  ",IF(W100&lt;0.1,"Thermal  Fault&gt; 300c and&lt;700 c"))</f>
        <v>Discharge of Low Energy,  </v>
      </c>
      <c r="AA100" s="17" t="str">
        <f t="shared" si="95"/>
        <v>Thermal  Fault &gt;300c and&lt;700 and &gt;700 c</v>
      </c>
      <c r="AB100" s="17" t="s">
        <v>107</v>
      </c>
      <c r="AC100" s="17" t="str">
        <f t="shared" si="5"/>
        <v>5.813953488</v>
      </c>
      <c r="AD100" s="18" t="str">
        <f t="shared" si="10"/>
        <v>3.43551797</v>
      </c>
      <c r="AE100" s="17" t="str">
        <f t="shared" si="6"/>
        <v>1.625</v>
      </c>
      <c r="AF100" s="17" t="str">
        <f t="shared" si="11"/>
        <v>1.692307692</v>
      </c>
      <c r="AG100" s="17" t="str">
        <f t="shared" si="96"/>
        <v>Thermal Decomposition, </v>
      </c>
      <c r="AH100" s="17" t="str">
        <f t="shared" si="68"/>
        <v>Arching</v>
      </c>
      <c r="AI100" s="17" t="str">
        <f t="shared" si="16"/>
        <v>Arching</v>
      </c>
      <c r="AJ100" s="17" t="str">
        <f t="shared" si="7"/>
        <v>Thermal Decomposition,corona </v>
      </c>
    </row>
    <row r="101" ht="12.75" customHeight="1">
      <c r="A101" s="11">
        <v>99.0</v>
      </c>
      <c r="B101" s="20" t="s">
        <v>132</v>
      </c>
      <c r="C101" s="20" t="s">
        <v>133</v>
      </c>
      <c r="D101" s="20" t="s">
        <v>134</v>
      </c>
      <c r="E101" s="20" t="s">
        <v>93</v>
      </c>
      <c r="F101" s="19">
        <v>2009.0</v>
      </c>
      <c r="G101" s="19">
        <v>7.8</v>
      </c>
      <c r="H101" s="16">
        <v>9.594</v>
      </c>
      <c r="I101" s="16">
        <v>14368.457999999999</v>
      </c>
      <c r="J101" s="16">
        <v>60428.94</v>
      </c>
      <c r="K101" s="16">
        <v>180.41400000000002</v>
      </c>
      <c r="L101" s="16">
        <v>1991.4959999999996</v>
      </c>
      <c r="M101" s="16">
        <v>6.0</v>
      </c>
      <c r="N101" s="16">
        <v>14.0</v>
      </c>
      <c r="O101" s="16">
        <v>9.0</v>
      </c>
      <c r="P101" s="16">
        <v>7.0</v>
      </c>
      <c r="Q101" s="17" t="str">
        <f t="shared" si="1"/>
        <v>0.7777777778</v>
      </c>
      <c r="R101" s="17" t="str">
        <f t="shared" si="2"/>
        <v>0.6253908693</v>
      </c>
      <c r="S101" s="17" t="str">
        <f t="shared" si="8"/>
        <v>0.6428571429</v>
      </c>
      <c r="T101" s="17" t="str">
        <f>IF(Q101&lt;1,"Partial discharge,Low Temprature thermal fault,")</f>
        <v>Partial discharge,Low Temprature thermal fault,</v>
      </c>
      <c r="U101" s="17" t="s">
        <v>31</v>
      </c>
      <c r="V101" s="17" t="str">
        <f t="shared" si="94"/>
        <v>Partial discharge, Normal </v>
      </c>
      <c r="W101" s="17" t="str">
        <f t="shared" si="3"/>
        <v>0.7777777778</v>
      </c>
      <c r="X101" s="17" t="str">
        <f t="shared" si="33"/>
        <v>0.6253908693</v>
      </c>
      <c r="Y101" s="17" t="str">
        <f t="shared" si="9"/>
        <v>0.6428571429</v>
      </c>
      <c r="Z101" s="17" t="s">
        <v>34</v>
      </c>
      <c r="AA101" s="17" t="s">
        <v>34</v>
      </c>
      <c r="AB101" s="17" t="s">
        <v>107</v>
      </c>
      <c r="AC101" s="17" t="str">
        <f t="shared" si="5"/>
        <v>0.6253908693</v>
      </c>
      <c r="AD101" s="18" t="str">
        <f t="shared" si="10"/>
        <v>0.7777777778</v>
      </c>
      <c r="AE101" s="17" t="str">
        <f t="shared" si="6"/>
        <v>1.166666667</v>
      </c>
      <c r="AF101" s="17" t="str">
        <f t="shared" si="11"/>
        <v>2</v>
      </c>
      <c r="AG101" s="17" t="s">
        <v>30</v>
      </c>
      <c r="AH101" s="17" t="str">
        <f t="shared" si="68"/>
        <v>Arching</v>
      </c>
      <c r="AI101" s="17" t="str">
        <f t="shared" si="16"/>
        <v>Arching</v>
      </c>
      <c r="AJ101" s="17" t="str">
        <f t="shared" si="7"/>
        <v>Thermal Decomposition,corona </v>
      </c>
    </row>
    <row r="102" ht="12.75" customHeight="1">
      <c r="A102" s="11">
        <v>100.0</v>
      </c>
      <c r="B102" s="19" t="s">
        <v>135</v>
      </c>
      <c r="C102" s="19" t="s">
        <v>136</v>
      </c>
      <c r="D102" s="19" t="s">
        <v>137</v>
      </c>
      <c r="E102" s="19" t="s">
        <v>138</v>
      </c>
      <c r="F102" s="19">
        <v>2013.0</v>
      </c>
      <c r="G102" s="17">
        <v>7.9</v>
      </c>
      <c r="H102" s="16">
        <v>1.8170000000000002</v>
      </c>
      <c r="I102" s="16">
        <v>15255.216000000002</v>
      </c>
      <c r="J102" s="16">
        <v>62242.125</v>
      </c>
      <c r="K102" s="16">
        <v>34.918000000000006</v>
      </c>
      <c r="L102" s="16">
        <v>406.37600000000003</v>
      </c>
      <c r="M102" s="16">
        <v>8.0</v>
      </c>
      <c r="N102" s="16">
        <v>7.0</v>
      </c>
      <c r="O102" s="16">
        <v>2.5229999999999997</v>
      </c>
      <c r="P102" s="16">
        <v>9.0</v>
      </c>
      <c r="Q102" s="17" t="str">
        <f t="shared" si="1"/>
        <v>3.567181926</v>
      </c>
      <c r="R102" s="17" t="str">
        <f t="shared" si="2"/>
        <v>4.40286186</v>
      </c>
      <c r="S102" s="17" t="str">
        <f t="shared" si="8"/>
        <v>0.3604285714</v>
      </c>
      <c r="T102" s="17" t="s">
        <v>30</v>
      </c>
      <c r="U102" s="17" t="str">
        <f t="shared" ref="U102:U103" si="97">IF(R102&lt;0.1, "Partial discharge", "Low temperature thermal ")</f>
        <v>Low temperature thermal </v>
      </c>
      <c r="V102" s="17" t="str">
        <f t="shared" si="94"/>
        <v>Partial discharge, Normal </v>
      </c>
      <c r="W102" s="17" t="str">
        <f t="shared" si="3"/>
        <v>3.567181926</v>
      </c>
      <c r="X102" s="17" t="str">
        <f t="shared" si="33"/>
        <v>4.40286186</v>
      </c>
      <c r="Y102" s="17" t="str">
        <f t="shared" si="9"/>
        <v>0.3604285714</v>
      </c>
      <c r="Z102" s="17" t="str">
        <f>IF(W102&gt;1,"Discharge of Low Energy,  ",IF(W102&lt;0.1,"Thermal  Fault&gt; 300c and&lt;700 c"))</f>
        <v>Discharge of Low Energy,  </v>
      </c>
      <c r="AA102" s="17" t="str">
        <f t="shared" ref="AA102:AA103" si="98">IF(X102&lt;0.1,"Partial Discharges, ",IF(X102&gt;1,"Thermal  Fault &gt;300c and&lt;700 and &gt;700 c"))</f>
        <v>Thermal  Fault &gt;300c and&lt;700 and &gt;700 c</v>
      </c>
      <c r="AB102" s="17" t="s">
        <v>107</v>
      </c>
      <c r="AC102" s="17" t="str">
        <f t="shared" si="5"/>
        <v>4.40286186</v>
      </c>
      <c r="AD102" s="18" t="str">
        <f t="shared" si="10"/>
        <v>3.567181926</v>
      </c>
      <c r="AE102" s="17" t="str">
        <f t="shared" si="6"/>
        <v>1.125</v>
      </c>
      <c r="AF102" s="17" t="str">
        <f t="shared" si="11"/>
        <v>0.7777777778</v>
      </c>
      <c r="AG102" s="17" t="str">
        <f t="shared" ref="AG102:AG105" si="99">IF(AC102&gt;1,"Thermal Decomposition, ",IF(AC102&lt;0.1,"Corona,Arching"))</f>
        <v>Thermal Decomposition, </v>
      </c>
      <c r="AH102" s="17" t="str">
        <f t="shared" si="68"/>
        <v>Arching</v>
      </c>
      <c r="AI102" s="17" t="str">
        <f t="shared" si="16"/>
        <v>Arching</v>
      </c>
      <c r="AJ102" s="17" t="str">
        <f t="shared" si="7"/>
        <v>Thermal Decomposition,corona </v>
      </c>
    </row>
    <row r="103" ht="12.75" customHeight="1">
      <c r="A103" s="11">
        <v>101.0</v>
      </c>
      <c r="B103" s="19" t="s">
        <v>139</v>
      </c>
      <c r="C103" s="19" t="s">
        <v>136</v>
      </c>
      <c r="D103" s="19" t="s">
        <v>137</v>
      </c>
      <c r="E103" s="19" t="s">
        <v>138</v>
      </c>
      <c r="F103" s="17">
        <v>2013.0</v>
      </c>
      <c r="G103" s="17">
        <v>8.2</v>
      </c>
      <c r="H103" s="16">
        <v>4.1819999999999995</v>
      </c>
      <c r="I103" s="16">
        <v>15618.457999999999</v>
      </c>
      <c r="J103" s="16">
        <v>64543.922</v>
      </c>
      <c r="K103" s="16">
        <v>42.147999999999996</v>
      </c>
      <c r="L103" s="16">
        <v>592.368</v>
      </c>
      <c r="M103" s="16">
        <v>9.0</v>
      </c>
      <c r="N103" s="16">
        <v>9.0</v>
      </c>
      <c r="O103" s="16">
        <v>5.0</v>
      </c>
      <c r="P103" s="16">
        <v>5.0</v>
      </c>
      <c r="Q103" s="17" t="str">
        <f t="shared" si="1"/>
        <v>1</v>
      </c>
      <c r="R103" s="17" t="str">
        <f t="shared" si="2"/>
        <v>2.152080344</v>
      </c>
      <c r="S103" s="17" t="str">
        <f t="shared" si="8"/>
        <v>0.5555555556</v>
      </c>
      <c r="T103" s="17" t="s">
        <v>30</v>
      </c>
      <c r="U103" s="17" t="str">
        <f t="shared" si="97"/>
        <v>Low temperature thermal </v>
      </c>
      <c r="V103" s="17" t="str">
        <f t="shared" si="94"/>
        <v>Partial discharge, Normal </v>
      </c>
      <c r="W103" s="17" t="str">
        <f t="shared" si="3"/>
        <v>1</v>
      </c>
      <c r="X103" s="17" t="str">
        <f t="shared" si="33"/>
        <v>2.152080344</v>
      </c>
      <c r="Y103" s="17" t="str">
        <f t="shared" si="9"/>
        <v>0.5555555556</v>
      </c>
      <c r="Z103" s="17" t="s">
        <v>34</v>
      </c>
      <c r="AA103" s="17" t="str">
        <f t="shared" si="98"/>
        <v>Thermal  Fault &gt;300c and&lt;700 and &gt;700 c</v>
      </c>
      <c r="AB103" s="17" t="s">
        <v>107</v>
      </c>
      <c r="AC103" s="17" t="str">
        <f t="shared" si="5"/>
        <v>2.152080344</v>
      </c>
      <c r="AD103" s="18" t="str">
        <f t="shared" si="10"/>
        <v>1</v>
      </c>
      <c r="AE103" s="17" t="str">
        <f t="shared" si="6"/>
        <v>0.5555555556</v>
      </c>
      <c r="AF103" s="17" t="str">
        <f t="shared" si="11"/>
        <v>1.8</v>
      </c>
      <c r="AG103" s="17" t="str">
        <f t="shared" si="99"/>
        <v>Thermal Decomposition, </v>
      </c>
      <c r="AH103" s="17" t="str">
        <f t="shared" si="68"/>
        <v>Arching</v>
      </c>
      <c r="AI103" s="17" t="str">
        <f t="shared" si="16"/>
        <v>Arching</v>
      </c>
      <c r="AJ103" s="17" t="str">
        <f t="shared" si="7"/>
        <v>Thermal Decomposition,corona </v>
      </c>
    </row>
    <row r="104" ht="12.75" customHeight="1">
      <c r="A104" s="11">
        <v>102.0</v>
      </c>
      <c r="B104" s="19" t="s">
        <v>140</v>
      </c>
      <c r="C104" s="19" t="s">
        <v>136</v>
      </c>
      <c r="D104" s="19" t="s">
        <v>137</v>
      </c>
      <c r="E104" s="19" t="s">
        <v>138</v>
      </c>
      <c r="F104" s="17">
        <v>2013.0</v>
      </c>
      <c r="G104" s="17">
        <v>7.8</v>
      </c>
      <c r="H104" s="16">
        <v>2.964</v>
      </c>
      <c r="I104" s="16">
        <v>14918.436</v>
      </c>
      <c r="J104" s="16">
        <v>61339.278</v>
      </c>
      <c r="K104" s="16">
        <v>45.083999999999996</v>
      </c>
      <c r="L104" s="16">
        <v>532.6619999999999</v>
      </c>
      <c r="M104" s="16">
        <v>7.0</v>
      </c>
      <c r="N104" s="16">
        <v>7.0</v>
      </c>
      <c r="O104" s="16">
        <v>8.0</v>
      </c>
      <c r="P104" s="16">
        <v>5.0</v>
      </c>
      <c r="Q104" s="17" t="str">
        <f t="shared" si="1"/>
        <v>0.625</v>
      </c>
      <c r="R104" s="17" t="str">
        <f t="shared" si="2"/>
        <v>2.361673414</v>
      </c>
      <c r="S104" s="17" t="str">
        <f t="shared" si="8"/>
        <v>1.142857143</v>
      </c>
      <c r="T104" s="17" t="str">
        <f t="shared" ref="T104:T105" si="100">IF(Q104&lt;1,"Partial discharge,Low Temprature thermal fault,")</f>
        <v>Partial discharge,Low Temprature thermal fault,</v>
      </c>
      <c r="U104" s="17" t="s">
        <v>31</v>
      </c>
      <c r="V104" s="17" t="s">
        <v>37</v>
      </c>
      <c r="W104" s="17" t="str">
        <f t="shared" si="3"/>
        <v>0.625</v>
      </c>
      <c r="X104" s="17" t="str">
        <f t="shared" si="33"/>
        <v>2.361673414</v>
      </c>
      <c r="Y104" s="17" t="str">
        <f t="shared" si="9"/>
        <v>1.142857143</v>
      </c>
      <c r="Z104" s="17" t="s">
        <v>34</v>
      </c>
      <c r="AA104" s="17" t="s">
        <v>34</v>
      </c>
      <c r="AB104" s="17" t="str">
        <f t="shared" ref="AB104:AB105" si="101">IF(Y104&lt;0.2,"Partial Discharges, ",IF(Y104&gt;1,"Thermal  Fault  &gt;700 c"))</f>
        <v>Thermal  Fault  &gt;700 c</v>
      </c>
      <c r="AC104" s="17" t="str">
        <f t="shared" si="5"/>
        <v>2.361673414</v>
      </c>
      <c r="AD104" s="18" t="str">
        <f t="shared" si="10"/>
        <v>0.625</v>
      </c>
      <c r="AE104" s="17" t="str">
        <f t="shared" si="6"/>
        <v>0.7142857143</v>
      </c>
      <c r="AF104" s="17" t="str">
        <f t="shared" si="11"/>
        <v>1.4</v>
      </c>
      <c r="AG104" s="17" t="str">
        <f t="shared" si="99"/>
        <v>Thermal Decomposition, </v>
      </c>
      <c r="AH104" s="17" t="str">
        <f t="shared" si="68"/>
        <v>Thermal Decomposition, </v>
      </c>
      <c r="AI104" s="17" t="str">
        <f t="shared" si="16"/>
        <v>Arching</v>
      </c>
      <c r="AJ104" s="17" t="str">
        <f t="shared" si="7"/>
        <v>Thermal Decomposition,corona </v>
      </c>
    </row>
    <row r="105" ht="12.75" customHeight="1">
      <c r="A105" s="11">
        <v>103.0</v>
      </c>
      <c r="B105" s="19" t="s">
        <v>141</v>
      </c>
      <c r="C105" s="19" t="s">
        <v>136</v>
      </c>
      <c r="D105" s="19" t="s">
        <v>142</v>
      </c>
      <c r="E105" s="19" t="s">
        <v>138</v>
      </c>
      <c r="F105" s="17">
        <v>2012.0</v>
      </c>
      <c r="G105" s="17">
        <v>8.2</v>
      </c>
      <c r="H105" s="16">
        <v>2.214</v>
      </c>
      <c r="I105" s="16">
        <v>15046.097999999998</v>
      </c>
      <c r="J105" s="16">
        <v>64905.95199999999</v>
      </c>
      <c r="K105" s="16">
        <v>90.856</v>
      </c>
      <c r="L105" s="16">
        <v>975.39</v>
      </c>
      <c r="M105" s="16">
        <v>9.0</v>
      </c>
      <c r="N105" s="16">
        <v>5.0</v>
      </c>
      <c r="O105" s="16">
        <v>8.0</v>
      </c>
      <c r="P105" s="16">
        <v>3.0</v>
      </c>
      <c r="Q105" s="17" t="str">
        <f t="shared" si="1"/>
        <v>0.375</v>
      </c>
      <c r="R105" s="17" t="str">
        <f t="shared" si="2"/>
        <v>4.06504065</v>
      </c>
      <c r="S105" s="17" t="str">
        <f t="shared" si="8"/>
        <v>1.6</v>
      </c>
      <c r="T105" s="17" t="str">
        <f t="shared" si="100"/>
        <v>Partial discharge,Low Temprature thermal fault,</v>
      </c>
      <c r="U105" s="17" t="str">
        <f>IF(R105&lt;0.1, "Partial discharge", "Low temperature thermal ")</f>
        <v>Low temperature thermal </v>
      </c>
      <c r="V105" s="17" t="s">
        <v>37</v>
      </c>
      <c r="W105" s="17" t="str">
        <f t="shared" si="3"/>
        <v>0.375</v>
      </c>
      <c r="X105" s="17" t="str">
        <f t="shared" si="33"/>
        <v>4.06504065</v>
      </c>
      <c r="Y105" s="17" t="str">
        <f t="shared" si="9"/>
        <v>1.6</v>
      </c>
      <c r="Z105" s="17" t="s">
        <v>34</v>
      </c>
      <c r="AA105" s="17" t="str">
        <f>IF(X105&lt;0.1,"Partial Discharges, ",IF(X105&gt;1,"Thermal  Fault &gt;300c and&lt;700 and &gt;700 c"))</f>
        <v>Thermal  Fault &gt;300c and&lt;700 and &gt;700 c</v>
      </c>
      <c r="AB105" s="17" t="str">
        <f t="shared" si="101"/>
        <v>Thermal  Fault  &gt;700 c</v>
      </c>
      <c r="AC105" s="17" t="str">
        <f t="shared" si="5"/>
        <v>4.06504065</v>
      </c>
      <c r="AD105" s="18" t="str">
        <f t="shared" si="10"/>
        <v>0.375</v>
      </c>
      <c r="AE105" s="17" t="str">
        <f t="shared" si="6"/>
        <v>0.3333333333</v>
      </c>
      <c r="AF105" s="17" t="str">
        <f t="shared" si="11"/>
        <v>1.666666667</v>
      </c>
      <c r="AG105" s="17" t="str">
        <f t="shared" si="99"/>
        <v>Thermal Decomposition, </v>
      </c>
      <c r="AH105" s="17" t="str">
        <f t="shared" si="68"/>
        <v>Thermal Decomposition, </v>
      </c>
      <c r="AI105" s="17" t="str">
        <f t="shared" si="16"/>
        <v>Arching</v>
      </c>
      <c r="AJ105" s="17" t="str">
        <f t="shared" si="7"/>
        <v>Thermal Decomposition,corona </v>
      </c>
    </row>
    <row r="106" ht="12.75" customHeight="1">
      <c r="A106" s="11">
        <v>104.0</v>
      </c>
      <c r="B106" s="19" t="s">
        <v>143</v>
      </c>
      <c r="C106" s="19" t="s">
        <v>136</v>
      </c>
      <c r="D106" s="19" t="s">
        <v>142</v>
      </c>
      <c r="E106" s="19" t="s">
        <v>138</v>
      </c>
      <c r="F106" s="17">
        <v>2013.0</v>
      </c>
      <c r="G106" s="17">
        <v>7.8</v>
      </c>
      <c r="H106" s="16">
        <v>9.0</v>
      </c>
      <c r="I106" s="16">
        <v>15479.88</v>
      </c>
      <c r="J106" s="16">
        <v>61652.448000000004</v>
      </c>
      <c r="K106" s="16">
        <v>38.843999999999994</v>
      </c>
      <c r="L106" s="16">
        <v>432.66599999999994</v>
      </c>
      <c r="M106" s="16">
        <v>4.0</v>
      </c>
      <c r="N106" s="16">
        <v>8.0</v>
      </c>
      <c r="O106" s="16">
        <v>5.6579999999999995</v>
      </c>
      <c r="P106" s="16">
        <v>22.0</v>
      </c>
      <c r="Q106" s="17" t="str">
        <f t="shared" si="1"/>
        <v>3.888299753</v>
      </c>
      <c r="R106" s="17" t="str">
        <f t="shared" si="2"/>
        <v>0.4444444444</v>
      </c>
      <c r="S106" s="17" t="str">
        <f t="shared" si="8"/>
        <v>0.70725</v>
      </c>
      <c r="T106" s="17" t="s">
        <v>30</v>
      </c>
      <c r="U106" s="17" t="s">
        <v>30</v>
      </c>
      <c r="V106" s="17" t="str">
        <f>IF(S106&lt;1,"Partial discharge, Normal ",IF(S106&gt;3,"Arching,Thermal  Fault &gt; 700 c"))</f>
        <v>Partial discharge, Normal </v>
      </c>
      <c r="W106" s="17" t="str">
        <f t="shared" si="3"/>
        <v>3.888299753</v>
      </c>
      <c r="X106" s="17" t="str">
        <f t="shared" si="33"/>
        <v>0.4444444444</v>
      </c>
      <c r="Y106" s="17" t="str">
        <f t="shared" si="9"/>
        <v>0.70725</v>
      </c>
      <c r="Z106" s="17" t="str">
        <f>IF(W106&gt;1,"Discharge of Low Energy,  ",IF(W106&lt;0.1,"Thermal  Fault&gt; 300c and&lt;700 c"))</f>
        <v>Discharge of Low Energy,  </v>
      </c>
      <c r="AA106" s="17" t="s">
        <v>144</v>
      </c>
      <c r="AB106" s="17" t="s">
        <v>107</v>
      </c>
      <c r="AC106" s="17" t="str">
        <f t="shared" si="5"/>
        <v>0.4444444444</v>
      </c>
      <c r="AD106" s="18" t="str">
        <f t="shared" si="10"/>
        <v>3.888299753</v>
      </c>
      <c r="AE106" s="17" t="str">
        <f t="shared" si="6"/>
        <v>5.5</v>
      </c>
      <c r="AF106" s="17" t="str">
        <f t="shared" si="11"/>
        <v>0.3636363636</v>
      </c>
      <c r="AG106" s="17" t="s">
        <v>30</v>
      </c>
      <c r="AH106" s="17" t="str">
        <f t="shared" si="68"/>
        <v>Arching</v>
      </c>
      <c r="AI106" s="17" t="str">
        <f t="shared" si="16"/>
        <v>Arching</v>
      </c>
      <c r="AJ106" s="17" t="str">
        <f t="shared" si="7"/>
        <v>Arching</v>
      </c>
    </row>
    <row r="107" ht="12.75" customHeight="1">
      <c r="A107" s="11">
        <v>105.0</v>
      </c>
      <c r="B107" s="19" t="s">
        <v>145</v>
      </c>
      <c r="C107" s="19" t="s">
        <v>136</v>
      </c>
      <c r="D107" s="19" t="s">
        <v>142</v>
      </c>
      <c r="E107" s="19" t="s">
        <v>138</v>
      </c>
      <c r="F107" s="17">
        <v>2012.0</v>
      </c>
      <c r="G107" s="17">
        <v>8.0</v>
      </c>
      <c r="H107" s="16">
        <v>7.0</v>
      </c>
      <c r="I107" s="16">
        <v>15388.800000000001</v>
      </c>
      <c r="J107" s="16">
        <v>62948.96</v>
      </c>
      <c r="K107" s="16">
        <v>47.12</v>
      </c>
      <c r="L107" s="16">
        <v>551.44</v>
      </c>
      <c r="M107" s="16">
        <v>2.56</v>
      </c>
      <c r="N107" s="16">
        <v>9.0</v>
      </c>
      <c r="O107" s="16">
        <v>9.0</v>
      </c>
      <c r="P107" s="16">
        <v>8.0</v>
      </c>
      <c r="Q107" s="17" t="str">
        <f t="shared" si="1"/>
        <v>0.8888888889</v>
      </c>
      <c r="R107" s="17" t="str">
        <f t="shared" si="2"/>
        <v>0.3657142857</v>
      </c>
      <c r="S107" s="17" t="str">
        <f t="shared" si="8"/>
        <v>1</v>
      </c>
      <c r="T107" s="17" t="str">
        <f t="shared" ref="T107:T108" si="102">IF(Q107&lt;1,"Partial discharge,Low Temprature thermal fault,")</f>
        <v>Partial discharge,Low Temprature thermal fault,</v>
      </c>
      <c r="U107" s="17" t="s">
        <v>30</v>
      </c>
      <c r="V107" s="17" t="s">
        <v>37</v>
      </c>
      <c r="W107" s="17" t="str">
        <f t="shared" si="3"/>
        <v>0.8888888889</v>
      </c>
      <c r="X107" s="17" t="str">
        <f t="shared" si="33"/>
        <v>0.3657142857</v>
      </c>
      <c r="Y107" s="17" t="str">
        <f t="shared" si="9"/>
        <v>1</v>
      </c>
      <c r="Z107" s="17" t="s">
        <v>34</v>
      </c>
      <c r="AA107" s="17" t="s">
        <v>144</v>
      </c>
      <c r="AB107" s="17" t="s">
        <v>107</v>
      </c>
      <c r="AC107" s="17" t="str">
        <f t="shared" si="5"/>
        <v>0.3657142857</v>
      </c>
      <c r="AD107" s="18" t="str">
        <f t="shared" si="10"/>
        <v>0.8888888889</v>
      </c>
      <c r="AE107" s="17" t="str">
        <f t="shared" si="6"/>
        <v>3.125</v>
      </c>
      <c r="AF107" s="17" t="str">
        <f t="shared" si="11"/>
        <v>1.125</v>
      </c>
      <c r="AG107" s="17" t="s">
        <v>30</v>
      </c>
      <c r="AH107" s="17" t="str">
        <f t="shared" si="68"/>
        <v>Arching</v>
      </c>
      <c r="AI107" s="17" t="str">
        <f t="shared" si="16"/>
        <v>Arching</v>
      </c>
      <c r="AJ107" s="17" t="str">
        <f t="shared" si="7"/>
        <v>Thermal Decomposition,corona </v>
      </c>
    </row>
    <row r="108" ht="12.75" customHeight="1">
      <c r="A108" s="11">
        <v>106.0</v>
      </c>
      <c r="B108" s="19" t="s">
        <v>146</v>
      </c>
      <c r="C108" s="19" t="s">
        <v>147</v>
      </c>
      <c r="D108" s="19" t="s">
        <v>148</v>
      </c>
      <c r="E108" s="19" t="s">
        <v>149</v>
      </c>
      <c r="F108" s="19">
        <v>2012.0</v>
      </c>
      <c r="G108" s="17">
        <v>8.1</v>
      </c>
      <c r="H108" s="16">
        <v>6.075</v>
      </c>
      <c r="I108" s="16">
        <v>15392.025000000001</v>
      </c>
      <c r="J108" s="16">
        <v>63209.564999999995</v>
      </c>
      <c r="K108" s="16">
        <v>98.901</v>
      </c>
      <c r="L108" s="16">
        <v>1174.6619999999998</v>
      </c>
      <c r="M108" s="16">
        <v>4.131</v>
      </c>
      <c r="N108" s="16">
        <v>5.0</v>
      </c>
      <c r="O108" s="16">
        <v>7.0</v>
      </c>
      <c r="P108" s="16">
        <v>5.0</v>
      </c>
      <c r="Q108" s="17" t="str">
        <f t="shared" si="1"/>
        <v>0.7142857143</v>
      </c>
      <c r="R108" s="17" t="str">
        <f t="shared" si="2"/>
        <v>0.68</v>
      </c>
      <c r="S108" s="17" t="str">
        <f t="shared" si="8"/>
        <v>1.4</v>
      </c>
      <c r="T108" s="17" t="str">
        <f t="shared" si="102"/>
        <v>Partial discharge,Low Temprature thermal fault,</v>
      </c>
      <c r="U108" s="17" t="s">
        <v>31</v>
      </c>
      <c r="V108" s="17" t="s">
        <v>37</v>
      </c>
      <c r="W108" s="17" t="str">
        <f t="shared" si="3"/>
        <v>0.7142857143</v>
      </c>
      <c r="X108" s="17" t="str">
        <f t="shared" si="33"/>
        <v>0.68</v>
      </c>
      <c r="Y108" s="17" t="str">
        <f t="shared" si="9"/>
        <v>1.4</v>
      </c>
      <c r="Z108" s="17" t="s">
        <v>34</v>
      </c>
      <c r="AA108" s="17" t="s">
        <v>34</v>
      </c>
      <c r="AB108" s="17" t="str">
        <f t="shared" ref="AB108:AB109" si="103">IF(Y108&lt;0.2,"Partial Discharges, ",IF(Y108&gt;1,"Thermal  Fault  &gt;700 c"))</f>
        <v>Thermal  Fault  &gt;700 c</v>
      </c>
      <c r="AC108" s="17" t="str">
        <f t="shared" si="5"/>
        <v>0.68</v>
      </c>
      <c r="AD108" s="18" t="str">
        <f t="shared" si="10"/>
        <v>0.7142857143</v>
      </c>
      <c r="AE108" s="17" t="str">
        <f t="shared" si="6"/>
        <v>1.210360687</v>
      </c>
      <c r="AF108" s="17" t="str">
        <f t="shared" si="11"/>
        <v>1</v>
      </c>
      <c r="AG108" s="17" t="s">
        <v>30</v>
      </c>
      <c r="AH108" s="17" t="str">
        <f t="shared" si="68"/>
        <v>Thermal Decomposition, </v>
      </c>
      <c r="AI108" s="17" t="str">
        <f t="shared" si="16"/>
        <v>Arching</v>
      </c>
      <c r="AJ108" s="17" t="str">
        <f t="shared" si="7"/>
        <v>Thermal Decomposition,corona </v>
      </c>
    </row>
    <row r="109" ht="12.75" customHeight="1">
      <c r="A109" s="11">
        <v>107.0</v>
      </c>
      <c r="B109" s="19" t="s">
        <v>150</v>
      </c>
      <c r="C109" s="19" t="s">
        <v>147</v>
      </c>
      <c r="D109" s="19" t="s">
        <v>148</v>
      </c>
      <c r="E109" s="19" t="s">
        <v>149</v>
      </c>
      <c r="F109" s="19">
        <v>2012.0</v>
      </c>
      <c r="G109" s="17">
        <v>8.4</v>
      </c>
      <c r="H109" s="16">
        <v>1.0079999999999998</v>
      </c>
      <c r="I109" s="16">
        <v>16335.228000000001</v>
      </c>
      <c r="J109" s="16">
        <v>65532.096000000005</v>
      </c>
      <c r="K109" s="16">
        <v>92.736</v>
      </c>
      <c r="L109" s="16">
        <v>938.448</v>
      </c>
      <c r="M109" s="16">
        <v>1.0079999999999998</v>
      </c>
      <c r="N109" s="16">
        <v>8.0</v>
      </c>
      <c r="O109" s="16">
        <v>9.0</v>
      </c>
      <c r="P109" s="16">
        <v>9.0</v>
      </c>
      <c r="Q109" s="17" t="str">
        <f t="shared" si="1"/>
        <v>1</v>
      </c>
      <c r="R109" s="17" t="str">
        <f t="shared" si="2"/>
        <v>1</v>
      </c>
      <c r="S109" s="17" t="str">
        <f t="shared" si="8"/>
        <v>1.125</v>
      </c>
      <c r="T109" s="17" t="s">
        <v>30</v>
      </c>
      <c r="U109" s="17" t="s">
        <v>31</v>
      </c>
      <c r="V109" s="17" t="s">
        <v>37</v>
      </c>
      <c r="W109" s="17" t="str">
        <f t="shared" si="3"/>
        <v>1</v>
      </c>
      <c r="X109" s="17" t="str">
        <f t="shared" si="33"/>
        <v>1</v>
      </c>
      <c r="Y109" s="17" t="str">
        <f t="shared" si="9"/>
        <v>1.125</v>
      </c>
      <c r="Z109" s="17" t="s">
        <v>34</v>
      </c>
      <c r="AA109" s="17" t="s">
        <v>34</v>
      </c>
      <c r="AB109" s="17" t="str">
        <f t="shared" si="103"/>
        <v>Thermal  Fault  &gt;700 c</v>
      </c>
      <c r="AC109" s="17" t="str">
        <f t="shared" si="5"/>
        <v>1</v>
      </c>
      <c r="AD109" s="18" t="str">
        <f t="shared" si="10"/>
        <v>1</v>
      </c>
      <c r="AE109" s="17" t="str">
        <f t="shared" si="6"/>
        <v>8.928571429</v>
      </c>
      <c r="AF109" s="17" t="str">
        <f t="shared" si="11"/>
        <v>0.8888888889</v>
      </c>
      <c r="AG109" s="17" t="s">
        <v>30</v>
      </c>
      <c r="AH109" s="17" t="str">
        <f t="shared" si="68"/>
        <v>Arching</v>
      </c>
      <c r="AI109" s="17" t="str">
        <f t="shared" si="16"/>
        <v>Arching</v>
      </c>
      <c r="AJ109" s="17" t="str">
        <f t="shared" si="7"/>
        <v>Thermal Decomposition,corona </v>
      </c>
    </row>
    <row r="110" ht="12.75" customHeight="1">
      <c r="A110" s="11">
        <v>108.0</v>
      </c>
      <c r="B110" s="19" t="s">
        <v>151</v>
      </c>
      <c r="C110" s="19" t="s">
        <v>147</v>
      </c>
      <c r="D110" s="19" t="s">
        <v>148</v>
      </c>
      <c r="E110" s="19" t="s">
        <v>149</v>
      </c>
      <c r="F110" s="19">
        <v>2012.0</v>
      </c>
      <c r="G110" s="17">
        <v>8.6</v>
      </c>
      <c r="H110" s="16">
        <v>1.204</v>
      </c>
      <c r="I110" s="16">
        <v>15808.434</v>
      </c>
      <c r="J110" s="16">
        <v>67763.7</v>
      </c>
      <c r="K110" s="16">
        <v>129.344</v>
      </c>
      <c r="L110" s="16">
        <v>1359.4019999999998</v>
      </c>
      <c r="M110" s="16">
        <v>1.032</v>
      </c>
      <c r="N110" s="16">
        <v>9.0</v>
      </c>
      <c r="O110" s="16">
        <v>6.0</v>
      </c>
      <c r="P110" s="16">
        <v>4.0</v>
      </c>
      <c r="Q110" s="17" t="str">
        <f t="shared" si="1"/>
        <v>0.6666666667</v>
      </c>
      <c r="R110" s="17" t="str">
        <f t="shared" si="2"/>
        <v>0.8571428571</v>
      </c>
      <c r="S110" s="17" t="str">
        <f t="shared" si="8"/>
        <v>0.6666666667</v>
      </c>
      <c r="T110" s="17" t="str">
        <f t="shared" ref="T110:T112" si="104">IF(Q110&lt;1,"Partial discharge,Low Temprature thermal fault,")</f>
        <v>Partial discharge,Low Temprature thermal fault,</v>
      </c>
      <c r="U110" s="17" t="s">
        <v>31</v>
      </c>
      <c r="V110" s="17" t="str">
        <f>IF(S110&lt;1,"Partial discharge, Normal ",IF(S110&gt;3,"Arching,Thermal  Fault &gt; 700 c"))</f>
        <v>Partial discharge, Normal </v>
      </c>
      <c r="W110" s="17" t="str">
        <f t="shared" si="3"/>
        <v>0.6666666667</v>
      </c>
      <c r="X110" s="17" t="str">
        <f t="shared" si="33"/>
        <v>0.8571428571</v>
      </c>
      <c r="Y110" s="17" t="str">
        <f t="shared" si="9"/>
        <v>0.6666666667</v>
      </c>
      <c r="Z110" s="17" t="s">
        <v>34</v>
      </c>
      <c r="AA110" s="17" t="s">
        <v>34</v>
      </c>
      <c r="AB110" s="17" t="s">
        <v>107</v>
      </c>
      <c r="AC110" s="17" t="str">
        <f t="shared" si="5"/>
        <v>0.8571428571</v>
      </c>
      <c r="AD110" s="18" t="str">
        <f t="shared" si="10"/>
        <v>0.6666666667</v>
      </c>
      <c r="AE110" s="17" t="str">
        <f t="shared" si="6"/>
        <v>3.875968992</v>
      </c>
      <c r="AF110" s="17" t="str">
        <f t="shared" si="11"/>
        <v>2.25</v>
      </c>
      <c r="AG110" s="17" t="s">
        <v>30</v>
      </c>
      <c r="AH110" s="17" t="str">
        <f t="shared" si="68"/>
        <v>Thermal Decomposition, </v>
      </c>
      <c r="AI110" s="17" t="str">
        <f t="shared" si="16"/>
        <v>Arching</v>
      </c>
      <c r="AJ110" s="17" t="str">
        <f t="shared" si="7"/>
        <v>Thermal Decomposition,corona </v>
      </c>
    </row>
    <row r="111" ht="12.75" customHeight="1">
      <c r="A111" s="11">
        <v>109.0</v>
      </c>
      <c r="B111" s="19" t="s">
        <v>152</v>
      </c>
      <c r="C111" s="19" t="s">
        <v>147</v>
      </c>
      <c r="D111" s="19" t="s">
        <v>148</v>
      </c>
      <c r="E111" s="19" t="s">
        <v>149</v>
      </c>
      <c r="F111" s="17">
        <v>2012.0</v>
      </c>
      <c r="G111" s="17">
        <v>7.8</v>
      </c>
      <c r="H111" s="16">
        <v>4.836</v>
      </c>
      <c r="I111" s="16">
        <v>14574.612000000001</v>
      </c>
      <c r="J111" s="16">
        <v>61470.94199999999</v>
      </c>
      <c r="K111" s="16">
        <v>104.20799999999998</v>
      </c>
      <c r="L111" s="16">
        <v>983.8919999999999</v>
      </c>
      <c r="M111" s="16">
        <v>1.638</v>
      </c>
      <c r="N111" s="16">
        <v>6.0</v>
      </c>
      <c r="O111" s="16">
        <v>9.0</v>
      </c>
      <c r="P111" s="16">
        <v>6.0</v>
      </c>
      <c r="Q111" s="17" t="str">
        <f t="shared" si="1"/>
        <v>0.6666666667</v>
      </c>
      <c r="R111" s="17" t="str">
        <f t="shared" si="2"/>
        <v>0.3387096774</v>
      </c>
      <c r="S111" s="17" t="str">
        <f t="shared" si="8"/>
        <v>1.5</v>
      </c>
      <c r="T111" s="17" t="str">
        <f t="shared" si="104"/>
        <v>Partial discharge,Low Temprature thermal fault,</v>
      </c>
      <c r="U111" s="17" t="s">
        <v>31</v>
      </c>
      <c r="V111" s="17" t="s">
        <v>37</v>
      </c>
      <c r="W111" s="17" t="str">
        <f t="shared" si="3"/>
        <v>0.6666666667</v>
      </c>
      <c r="X111" s="17" t="str">
        <f t="shared" si="33"/>
        <v>0.3387096774</v>
      </c>
      <c r="Y111" s="17" t="str">
        <f t="shared" si="9"/>
        <v>1.5</v>
      </c>
      <c r="Z111" s="17" t="s">
        <v>34</v>
      </c>
      <c r="AA111" s="17" t="s">
        <v>34</v>
      </c>
      <c r="AB111" s="17" t="str">
        <f t="shared" ref="AB111:AB112" si="105">IF(Y111&lt;0.2,"Partial Discharges, ",IF(Y111&gt;1,"Thermal  Fault  &gt;700 c"))</f>
        <v>Thermal  Fault  &gt;700 c</v>
      </c>
      <c r="AC111" s="17" t="str">
        <f t="shared" si="5"/>
        <v>0.3387096774</v>
      </c>
      <c r="AD111" s="18" t="str">
        <f t="shared" si="10"/>
        <v>0.6666666667</v>
      </c>
      <c r="AE111" s="17" t="str">
        <f t="shared" si="6"/>
        <v>3.663003663</v>
      </c>
      <c r="AF111" s="17" t="str">
        <f t="shared" si="11"/>
        <v>1</v>
      </c>
      <c r="AG111" s="17" t="s">
        <v>30</v>
      </c>
      <c r="AH111" s="17" t="str">
        <f t="shared" si="68"/>
        <v>Thermal Decomposition, </v>
      </c>
      <c r="AI111" s="17" t="str">
        <f t="shared" si="16"/>
        <v>Arching</v>
      </c>
      <c r="AJ111" s="17" t="str">
        <f t="shared" si="7"/>
        <v>Thermal Decomposition,corona </v>
      </c>
    </row>
    <row r="112" ht="12.75" customHeight="1">
      <c r="A112" s="11">
        <v>110.0</v>
      </c>
      <c r="B112" s="19" t="s">
        <v>153</v>
      </c>
      <c r="C112" s="19" t="s">
        <v>147</v>
      </c>
      <c r="D112" s="19" t="s">
        <v>148</v>
      </c>
      <c r="E112" s="19" t="s">
        <v>149</v>
      </c>
      <c r="F112" s="17">
        <v>2012.0</v>
      </c>
      <c r="G112" s="17">
        <v>8.4</v>
      </c>
      <c r="H112" s="16">
        <v>6.468</v>
      </c>
      <c r="I112" s="16">
        <v>15166.62</v>
      </c>
      <c r="J112" s="16">
        <v>66396.2964</v>
      </c>
      <c r="K112" s="16">
        <v>125.32799999999999</v>
      </c>
      <c r="L112" s="16">
        <v>1528.2959999999998</v>
      </c>
      <c r="M112" s="16">
        <v>8.0</v>
      </c>
      <c r="N112" s="16">
        <v>4.0</v>
      </c>
      <c r="O112" s="16">
        <v>20.580000000000002</v>
      </c>
      <c r="P112" s="16">
        <v>8.0</v>
      </c>
      <c r="Q112" s="17" t="str">
        <f t="shared" si="1"/>
        <v>0.3887269193</v>
      </c>
      <c r="R112" s="17" t="str">
        <f t="shared" si="2"/>
        <v>1.23685838</v>
      </c>
      <c r="S112" s="17" t="str">
        <f t="shared" si="8"/>
        <v>5.145</v>
      </c>
      <c r="T112" s="17" t="str">
        <f t="shared" si="104"/>
        <v>Partial discharge,Low Temprature thermal fault,</v>
      </c>
      <c r="U112" s="17" t="str">
        <f t="shared" ref="U112:U113" si="106">IF(R112&lt;0.1, "Partial discharge", "Low temperature thermal ")</f>
        <v>Low temperature thermal </v>
      </c>
      <c r="V112" s="17" t="str">
        <f t="shared" ref="V112:V114" si="107">IF(S112&lt;1,"Partial discharge, Normal ",IF(S112&gt;3,"Arching,Thermal  Fault &gt; 700 c"))</f>
        <v>Arching,Thermal  Fault &gt; 700 c</v>
      </c>
      <c r="W112" s="17" t="str">
        <f t="shared" si="3"/>
        <v>0.3887269193</v>
      </c>
      <c r="X112" s="17" t="str">
        <f t="shared" si="33"/>
        <v>1.23685838</v>
      </c>
      <c r="Y112" s="17" t="str">
        <f t="shared" si="9"/>
        <v>5.145</v>
      </c>
      <c r="Z112" s="17" t="s">
        <v>34</v>
      </c>
      <c r="AA112" s="17" t="str">
        <f t="shared" ref="AA112:AA113" si="108">IF(X112&lt;0.1,"Partial Discharges, ",IF(X112&gt;1,"Thermal  Fault &gt;300c and&lt;700 and &gt;700 c"))</f>
        <v>Thermal  Fault &gt;300c and&lt;700 and &gt;700 c</v>
      </c>
      <c r="AB112" s="17" t="str">
        <f t="shared" si="105"/>
        <v>Thermal  Fault  &gt;700 c</v>
      </c>
      <c r="AC112" s="17" t="str">
        <f t="shared" si="5"/>
        <v>1.23685838</v>
      </c>
      <c r="AD112" s="18" t="str">
        <f t="shared" si="10"/>
        <v>0.3887269193</v>
      </c>
      <c r="AE112" s="17" t="str">
        <f t="shared" si="6"/>
        <v>1</v>
      </c>
      <c r="AF112" s="17" t="str">
        <f t="shared" si="11"/>
        <v>0.5</v>
      </c>
      <c r="AG112" s="17" t="str">
        <f t="shared" ref="AG112:AG113" si="109">IF(AC112&gt;1,"Thermal Decomposition, ",IF(AC112&lt;0.1,"Corona,Arching"))</f>
        <v>Thermal Decomposition, </v>
      </c>
      <c r="AH112" s="17" t="str">
        <f t="shared" si="68"/>
        <v>Thermal Decomposition, </v>
      </c>
      <c r="AI112" s="17" t="str">
        <f t="shared" si="16"/>
        <v>Arching</v>
      </c>
      <c r="AJ112" s="17" t="str">
        <f t="shared" si="7"/>
        <v>Thermal Decomposition,corona </v>
      </c>
    </row>
    <row r="113" ht="12.75" customHeight="1">
      <c r="A113" s="11">
        <v>111.0</v>
      </c>
      <c r="B113" s="19" t="s">
        <v>154</v>
      </c>
      <c r="C113" s="19" t="s">
        <v>147</v>
      </c>
      <c r="D113" s="19" t="s">
        <v>148</v>
      </c>
      <c r="E113" s="19" t="s">
        <v>149</v>
      </c>
      <c r="F113" s="17">
        <v>2012.0</v>
      </c>
      <c r="G113" s="17">
        <v>8.0</v>
      </c>
      <c r="H113" s="16">
        <v>4.3999999999999995</v>
      </c>
      <c r="I113" s="16">
        <v>14990.960000000001</v>
      </c>
      <c r="J113" s="16">
        <v>63142.16</v>
      </c>
      <c r="K113" s="16">
        <v>118.16</v>
      </c>
      <c r="L113" s="16">
        <v>1299.12</v>
      </c>
      <c r="M113" s="16">
        <v>9.0</v>
      </c>
      <c r="N113" s="16">
        <v>9.0</v>
      </c>
      <c r="O113" s="16">
        <v>5.312000000000001</v>
      </c>
      <c r="P113" s="16">
        <v>6.0</v>
      </c>
      <c r="Q113" s="17" t="str">
        <f t="shared" si="1"/>
        <v>1.129518072</v>
      </c>
      <c r="R113" s="17" t="str">
        <f t="shared" si="2"/>
        <v>2.045454545</v>
      </c>
      <c r="S113" s="17" t="str">
        <f t="shared" si="8"/>
        <v>0.5902222222</v>
      </c>
      <c r="T113" s="17" t="s">
        <v>30</v>
      </c>
      <c r="U113" s="17" t="str">
        <f t="shared" si="106"/>
        <v>Low temperature thermal </v>
      </c>
      <c r="V113" s="17" t="str">
        <f t="shared" si="107"/>
        <v>Partial discharge, Normal </v>
      </c>
      <c r="W113" s="17" t="str">
        <f t="shared" si="3"/>
        <v>1.129518072</v>
      </c>
      <c r="X113" s="17" t="str">
        <f t="shared" si="33"/>
        <v>2.045454545</v>
      </c>
      <c r="Y113" s="17" t="str">
        <f t="shared" si="9"/>
        <v>0.5902222222</v>
      </c>
      <c r="Z113" s="17" t="str">
        <f t="shared" ref="Z113:Z114" si="110">IF(W113&gt;1,"Discharge of Low Energy,  ",IF(W113&lt;0.1,"Thermal  Fault&gt; 300c and&lt;700 c"))</f>
        <v>Discharge of Low Energy,  </v>
      </c>
      <c r="AA113" s="17" t="str">
        <f t="shared" si="108"/>
        <v>Thermal  Fault &gt;300c and&lt;700 and &gt;700 c</v>
      </c>
      <c r="AB113" s="17" t="s">
        <v>107</v>
      </c>
      <c r="AC113" s="17" t="str">
        <f t="shared" si="5"/>
        <v>2.045454545</v>
      </c>
      <c r="AD113" s="18" t="str">
        <f t="shared" si="10"/>
        <v>1.129518072</v>
      </c>
      <c r="AE113" s="17" t="str">
        <f t="shared" si="6"/>
        <v>0.6666666667</v>
      </c>
      <c r="AF113" s="17" t="str">
        <f t="shared" si="11"/>
        <v>1.5</v>
      </c>
      <c r="AG113" s="17" t="str">
        <f t="shared" si="109"/>
        <v>Thermal Decomposition, </v>
      </c>
      <c r="AH113" s="17" t="str">
        <f t="shared" si="68"/>
        <v>Arching</v>
      </c>
      <c r="AI113" s="17" t="str">
        <f t="shared" si="16"/>
        <v>Arching</v>
      </c>
      <c r="AJ113" s="17" t="str">
        <f t="shared" si="7"/>
        <v>Thermal Decomposition,corona </v>
      </c>
    </row>
    <row r="114" ht="12.75" customHeight="1">
      <c r="A114" s="11">
        <v>112.0</v>
      </c>
      <c r="B114" s="19" t="s">
        <v>155</v>
      </c>
      <c r="C114" s="19" t="s">
        <v>147</v>
      </c>
      <c r="D114" s="19" t="s">
        <v>148</v>
      </c>
      <c r="E114" s="19" t="s">
        <v>149</v>
      </c>
      <c r="F114" s="17">
        <v>2012.0</v>
      </c>
      <c r="G114" s="17">
        <v>8.2</v>
      </c>
      <c r="H114" s="16">
        <v>1.312</v>
      </c>
      <c r="I114" s="16">
        <v>14118.596</v>
      </c>
      <c r="J114" s="16">
        <v>65043.71199999999</v>
      </c>
      <c r="K114" s="16">
        <v>133.414</v>
      </c>
      <c r="L114" s="16">
        <v>1814.4139999999998</v>
      </c>
      <c r="M114" s="16">
        <v>1.2299999999999998</v>
      </c>
      <c r="N114" s="16">
        <v>9.0</v>
      </c>
      <c r="O114" s="16">
        <v>2.08</v>
      </c>
      <c r="P114" s="17">
        <v>9.0</v>
      </c>
      <c r="Q114" s="17" t="str">
        <f t="shared" si="1"/>
        <v>4.326923077</v>
      </c>
      <c r="R114" s="17" t="str">
        <f t="shared" si="2"/>
        <v>0.9375</v>
      </c>
      <c r="S114" s="17" t="str">
        <f t="shared" si="8"/>
        <v>0.2311111111</v>
      </c>
      <c r="T114" s="17" t="s">
        <v>30</v>
      </c>
      <c r="U114" s="17" t="s">
        <v>31</v>
      </c>
      <c r="V114" s="17" t="str">
        <f t="shared" si="107"/>
        <v>Partial discharge, Normal </v>
      </c>
      <c r="W114" s="17" t="str">
        <f t="shared" si="3"/>
        <v>4.326923077</v>
      </c>
      <c r="X114" s="17" t="str">
        <f t="shared" si="33"/>
        <v>0.9375</v>
      </c>
      <c r="Y114" s="17" t="str">
        <f t="shared" si="9"/>
        <v>0.2311111111</v>
      </c>
      <c r="Z114" s="17" t="str">
        <f t="shared" si="110"/>
        <v>Discharge of Low Energy,  </v>
      </c>
      <c r="AA114" s="17" t="s">
        <v>34</v>
      </c>
      <c r="AB114" s="17" t="s">
        <v>107</v>
      </c>
      <c r="AC114" s="17" t="str">
        <f t="shared" si="5"/>
        <v>0.9375</v>
      </c>
      <c r="AD114" s="18" t="str">
        <f t="shared" si="10"/>
        <v>4.326923077</v>
      </c>
      <c r="AE114" s="17" t="str">
        <f t="shared" si="6"/>
        <v>7.317073171</v>
      </c>
      <c r="AF114" s="17" t="str">
        <f t="shared" si="11"/>
        <v>1</v>
      </c>
      <c r="AG114" s="17" t="s">
        <v>30</v>
      </c>
      <c r="AH114" s="17" t="str">
        <f t="shared" si="68"/>
        <v>Arching</v>
      </c>
      <c r="AI114" s="17" t="str">
        <f t="shared" si="16"/>
        <v>Arching</v>
      </c>
      <c r="AJ114" s="17" t="str">
        <f t="shared" si="7"/>
        <v>Thermal Decomposition,corona </v>
      </c>
    </row>
    <row r="115" ht="12.75" customHeight="1">
      <c r="A115" s="11">
        <v>113.0</v>
      </c>
      <c r="B115" s="19" t="s">
        <v>156</v>
      </c>
      <c r="C115" s="19" t="s">
        <v>147</v>
      </c>
      <c r="D115" s="19" t="s">
        <v>148</v>
      </c>
      <c r="E115" s="19" t="s">
        <v>149</v>
      </c>
      <c r="F115" s="17">
        <v>2012.0</v>
      </c>
      <c r="G115" s="17">
        <v>8.5</v>
      </c>
      <c r="H115" s="16">
        <v>2.72</v>
      </c>
      <c r="I115" s="16">
        <v>16975.774999999998</v>
      </c>
      <c r="J115" s="16">
        <v>65470.91</v>
      </c>
      <c r="K115" s="16">
        <v>127.32999999999998</v>
      </c>
      <c r="L115" s="16">
        <v>1381.25</v>
      </c>
      <c r="M115" s="16">
        <v>0.5099999999999999</v>
      </c>
      <c r="N115" s="16">
        <v>6.0</v>
      </c>
      <c r="O115" s="16">
        <v>9.0</v>
      </c>
      <c r="P115" s="17">
        <v>5.0</v>
      </c>
      <c r="Q115" s="17" t="str">
        <f t="shared" si="1"/>
        <v>0.5555555556</v>
      </c>
      <c r="R115" s="17" t="str">
        <f t="shared" si="2"/>
        <v>0.1875</v>
      </c>
      <c r="S115" s="17" t="str">
        <f t="shared" si="8"/>
        <v>1.5</v>
      </c>
      <c r="T115" s="17" t="str">
        <f>IF(Q115&lt;1,"Partial discharge,Low Temprature thermal fault,")</f>
        <v>Partial discharge,Low Temprature thermal fault,</v>
      </c>
      <c r="U115" s="17" t="s">
        <v>31</v>
      </c>
      <c r="V115" s="17" t="s">
        <v>37</v>
      </c>
      <c r="W115" s="17" t="str">
        <f t="shared" si="3"/>
        <v>0.5555555556</v>
      </c>
      <c r="X115" s="17" t="str">
        <f t="shared" si="33"/>
        <v>0.1875</v>
      </c>
      <c r="Y115" s="17" t="str">
        <f t="shared" si="9"/>
        <v>1.5</v>
      </c>
      <c r="Z115" s="17" t="s">
        <v>34</v>
      </c>
      <c r="AA115" s="17" t="s">
        <v>34</v>
      </c>
      <c r="AB115" s="17" t="str">
        <f>IF(Y115&lt;0.2,"Partial Discharges, ",IF(Y115&gt;1,"Thermal  Fault  &gt;700 c"))</f>
        <v>Thermal  Fault  &gt;700 c</v>
      </c>
      <c r="AC115" s="17" t="str">
        <f t="shared" si="5"/>
        <v>0.1875</v>
      </c>
      <c r="AD115" s="18" t="str">
        <f t="shared" si="10"/>
        <v>0.5555555556</v>
      </c>
      <c r="AE115" s="17" t="str">
        <f t="shared" si="6"/>
        <v>9.803921569</v>
      </c>
      <c r="AF115" s="17" t="str">
        <f t="shared" si="11"/>
        <v>1.2</v>
      </c>
      <c r="AG115" s="17" t="s">
        <v>30</v>
      </c>
      <c r="AH115" s="17" t="str">
        <f t="shared" si="68"/>
        <v>Thermal Decomposition, </v>
      </c>
      <c r="AI115" s="17" t="str">
        <f t="shared" si="16"/>
        <v>Arching</v>
      </c>
      <c r="AJ115" s="17" t="str">
        <f t="shared" si="7"/>
        <v>Thermal Decomposition,corona </v>
      </c>
    </row>
    <row r="116" ht="12.75" customHeight="1">
      <c r="A116" s="11">
        <v>114.0</v>
      </c>
      <c r="B116" s="19" t="s">
        <v>157</v>
      </c>
      <c r="C116" s="19" t="s">
        <v>147</v>
      </c>
      <c r="D116" s="19" t="s">
        <v>148</v>
      </c>
      <c r="E116" s="19" t="s">
        <v>149</v>
      </c>
      <c r="F116" s="17">
        <v>2012.0</v>
      </c>
      <c r="G116" s="17">
        <v>8.2</v>
      </c>
      <c r="H116" s="16">
        <v>7.544</v>
      </c>
      <c r="I116" s="16">
        <v>16442.148</v>
      </c>
      <c r="J116" s="16">
        <v>63270.62599999999</v>
      </c>
      <c r="K116" s="16">
        <v>131.364</v>
      </c>
      <c r="L116" s="16">
        <v>1652.628</v>
      </c>
      <c r="M116" s="16">
        <v>4.428</v>
      </c>
      <c r="N116" s="16">
        <v>9.0</v>
      </c>
      <c r="O116" s="16">
        <v>8.0</v>
      </c>
      <c r="P116" s="17">
        <v>8.0</v>
      </c>
      <c r="Q116" s="17" t="str">
        <f t="shared" si="1"/>
        <v>1</v>
      </c>
      <c r="R116" s="17" t="str">
        <f t="shared" si="2"/>
        <v>0.5869565217</v>
      </c>
      <c r="S116" s="17" t="str">
        <f t="shared" si="8"/>
        <v>0.8888888889</v>
      </c>
      <c r="T116" s="17" t="s">
        <v>30</v>
      </c>
      <c r="U116" s="17" t="s">
        <v>31</v>
      </c>
      <c r="V116" s="17" t="str">
        <f>IF(S116&lt;1,"Partial discharge, Normal ",IF(S116&gt;3,"Arching,Thermal  Fault &gt; 700 c"))</f>
        <v>Partial discharge, Normal </v>
      </c>
      <c r="W116" s="17" t="str">
        <f t="shared" si="3"/>
        <v>1</v>
      </c>
      <c r="X116" s="17" t="str">
        <f t="shared" si="33"/>
        <v>0.5869565217</v>
      </c>
      <c r="Y116" s="17" t="str">
        <f t="shared" si="9"/>
        <v>0.8888888889</v>
      </c>
      <c r="Z116" s="17" t="s">
        <v>34</v>
      </c>
      <c r="AA116" s="17" t="s">
        <v>34</v>
      </c>
      <c r="AB116" s="17" t="s">
        <v>107</v>
      </c>
      <c r="AC116" s="17" t="str">
        <f t="shared" si="5"/>
        <v>0.5869565217</v>
      </c>
      <c r="AD116" s="18" t="str">
        <f t="shared" si="10"/>
        <v>1</v>
      </c>
      <c r="AE116" s="17" t="str">
        <f t="shared" si="6"/>
        <v>1.806684734</v>
      </c>
      <c r="AF116" s="17" t="str">
        <f t="shared" si="11"/>
        <v>1.125</v>
      </c>
      <c r="AG116" s="17" t="s">
        <v>30</v>
      </c>
      <c r="AH116" s="17" t="str">
        <f t="shared" si="68"/>
        <v>Arching</v>
      </c>
      <c r="AI116" s="17" t="str">
        <f t="shared" si="16"/>
        <v>Arching</v>
      </c>
      <c r="AJ116" s="17" t="str">
        <f t="shared" si="7"/>
        <v>Thermal Decomposition,corona </v>
      </c>
    </row>
    <row r="117" ht="12.75" customHeight="1">
      <c r="A117" s="11">
        <v>115.0</v>
      </c>
      <c r="B117" s="19" t="s">
        <v>158</v>
      </c>
      <c r="C117" s="19" t="s">
        <v>147</v>
      </c>
      <c r="D117" s="19" t="s">
        <v>148</v>
      </c>
      <c r="E117" s="19" t="s">
        <v>149</v>
      </c>
      <c r="F117" s="17">
        <v>2012.0</v>
      </c>
      <c r="G117" s="17">
        <v>8.0</v>
      </c>
      <c r="H117" s="16">
        <v>1.92</v>
      </c>
      <c r="I117" s="16">
        <v>15349.359999999999</v>
      </c>
      <c r="J117" s="16">
        <v>61935.52</v>
      </c>
      <c r="K117" s="16">
        <v>157.84</v>
      </c>
      <c r="L117" s="16">
        <v>1710.8799999999999</v>
      </c>
      <c r="M117" s="16">
        <v>16.08</v>
      </c>
      <c r="N117" s="16">
        <v>1.52</v>
      </c>
      <c r="O117" s="16">
        <v>1.8399999999999999</v>
      </c>
      <c r="P117" s="17">
        <v>9.0</v>
      </c>
      <c r="Q117" s="17" t="str">
        <f t="shared" si="1"/>
        <v>4.891304348</v>
      </c>
      <c r="R117" s="17" t="str">
        <f t="shared" si="2"/>
        <v>8.375</v>
      </c>
      <c r="S117" s="17" t="str">
        <f t="shared" si="8"/>
        <v>1.210526316</v>
      </c>
      <c r="T117" s="17" t="s">
        <v>30</v>
      </c>
      <c r="U117" s="17" t="str">
        <f>IF(R117&gt;1,"Thermal Fault &lt;700c, thermal fault &gt;700c ")</f>
        <v>Thermal Fault &lt;700c, thermal fault &gt;700c </v>
      </c>
      <c r="V117" s="17" t="s">
        <v>37</v>
      </c>
      <c r="W117" s="17" t="str">
        <f t="shared" si="3"/>
        <v>4.891304348</v>
      </c>
      <c r="X117" s="17" t="str">
        <f t="shared" si="33"/>
        <v>8.375</v>
      </c>
      <c r="Y117" s="17" t="str">
        <f t="shared" si="9"/>
        <v>1.210526316</v>
      </c>
      <c r="Z117" s="17" t="str">
        <f>IF(W117&gt;1,"Discharge of Low Energy,  ",IF(W117&lt;0.1,"Thermal  Fault&gt; 300c and&lt;700 c"))</f>
        <v>Discharge of Low Energy,  </v>
      </c>
      <c r="AA117" s="17" t="str">
        <f t="shared" ref="AA117:AA125" si="111">IF(X117&lt;0.1,"Partial Discharges, ",IF(X117&gt;1,"Thermal  Fault &gt;300c and&lt;700 and &gt;700 c"))</f>
        <v>Thermal  Fault &gt;300c and&lt;700 and &gt;700 c</v>
      </c>
      <c r="AB117" s="17" t="str">
        <f>IF(Y117&lt;0.2,"Partial Discharges, ",IF(Y117&gt;1,"Thermal  Fault  &gt;700 c"))</f>
        <v>Thermal  Fault  &gt;700 c</v>
      </c>
      <c r="AC117" s="17" t="str">
        <f t="shared" si="5"/>
        <v>8.375</v>
      </c>
      <c r="AD117" s="18" t="str">
        <f t="shared" si="10"/>
        <v>4.891304348</v>
      </c>
      <c r="AE117" s="17" t="str">
        <f t="shared" si="6"/>
        <v>0.5597014925</v>
      </c>
      <c r="AF117" s="17" t="str">
        <f t="shared" si="11"/>
        <v>0.1688888889</v>
      </c>
      <c r="AG117" s="17" t="str">
        <f t="shared" ref="AG117:AG125" si="112">IF(AC117&gt;1,"Thermal Decomposition, ",IF(AC117&lt;0.1,"Corona,Arching"))</f>
        <v>Thermal Decomposition, </v>
      </c>
      <c r="AH117" s="17" t="str">
        <f t="shared" si="68"/>
        <v>Arching</v>
      </c>
      <c r="AI117" s="17" t="str">
        <f t="shared" si="16"/>
        <v>Arching</v>
      </c>
      <c r="AJ117" s="17" t="str">
        <f t="shared" si="7"/>
        <v>Arching</v>
      </c>
    </row>
    <row r="118" ht="12.75" customHeight="1">
      <c r="A118" s="11">
        <v>116.0</v>
      </c>
      <c r="B118" s="19" t="s">
        <v>159</v>
      </c>
      <c r="C118" s="19" t="s">
        <v>147</v>
      </c>
      <c r="D118" s="19" t="s">
        <v>148</v>
      </c>
      <c r="E118" s="19" t="s">
        <v>149</v>
      </c>
      <c r="F118" s="17">
        <v>2012.0</v>
      </c>
      <c r="G118" s="17">
        <v>7.9</v>
      </c>
      <c r="H118" s="16">
        <v>2.0</v>
      </c>
      <c r="I118" s="16">
        <v>15883.187000000002</v>
      </c>
      <c r="J118" s="16">
        <v>61018.651999999995</v>
      </c>
      <c r="K118" s="16">
        <v>104.51700000000001</v>
      </c>
      <c r="L118" s="16">
        <v>1489.3080000000002</v>
      </c>
      <c r="M118" s="16">
        <v>9.0</v>
      </c>
      <c r="N118" s="16">
        <v>8.0</v>
      </c>
      <c r="O118" s="16">
        <v>8.0</v>
      </c>
      <c r="P118" s="17">
        <v>6.0</v>
      </c>
      <c r="Q118" s="17" t="str">
        <f t="shared" si="1"/>
        <v>0.75</v>
      </c>
      <c r="R118" s="17" t="str">
        <f t="shared" si="2"/>
        <v>4.5</v>
      </c>
      <c r="S118" s="17" t="str">
        <f t="shared" si="8"/>
        <v>1</v>
      </c>
      <c r="T118" s="17" t="str">
        <f>IF(Q118&lt;1,"Partial discharge,Low Temprature thermal fault,")</f>
        <v>Partial discharge,Low Temprature thermal fault,</v>
      </c>
      <c r="U118" s="17" t="s">
        <v>30</v>
      </c>
      <c r="V118" s="17" t="s">
        <v>37</v>
      </c>
      <c r="W118" s="17" t="str">
        <f t="shared" si="3"/>
        <v>0.75</v>
      </c>
      <c r="X118" s="17" t="str">
        <f t="shared" si="33"/>
        <v>4.5</v>
      </c>
      <c r="Y118" s="17" t="str">
        <f t="shared" si="9"/>
        <v>1</v>
      </c>
      <c r="Z118" s="17" t="s">
        <v>34</v>
      </c>
      <c r="AA118" s="17" t="str">
        <f t="shared" si="111"/>
        <v>Thermal  Fault &gt;300c and&lt;700 and &gt;700 c</v>
      </c>
      <c r="AB118" s="17" t="s">
        <v>107</v>
      </c>
      <c r="AC118" s="17" t="str">
        <f t="shared" si="5"/>
        <v>4.5</v>
      </c>
      <c r="AD118" s="18" t="str">
        <f t="shared" si="10"/>
        <v>0.75</v>
      </c>
      <c r="AE118" s="17" t="str">
        <f t="shared" si="6"/>
        <v>0.6666666667</v>
      </c>
      <c r="AF118" s="17" t="str">
        <f t="shared" si="11"/>
        <v>1.333333333</v>
      </c>
      <c r="AG118" s="17" t="str">
        <f t="shared" si="112"/>
        <v>Thermal Decomposition, </v>
      </c>
      <c r="AH118" s="17" t="str">
        <f t="shared" si="68"/>
        <v>FALSE</v>
      </c>
      <c r="AI118" s="17" t="str">
        <f t="shared" si="16"/>
        <v>Arching</v>
      </c>
      <c r="AJ118" s="17" t="str">
        <f t="shared" si="7"/>
        <v>Thermal Decomposition,corona </v>
      </c>
    </row>
    <row r="119" ht="12.75" customHeight="1">
      <c r="A119" s="11">
        <v>117.0</v>
      </c>
      <c r="B119" s="19" t="s">
        <v>160</v>
      </c>
      <c r="C119" s="19" t="s">
        <v>147</v>
      </c>
      <c r="D119" s="19" t="s">
        <v>148</v>
      </c>
      <c r="E119" s="19" t="s">
        <v>149</v>
      </c>
      <c r="F119" s="17">
        <v>2012.0</v>
      </c>
      <c r="G119" s="17">
        <v>7.9</v>
      </c>
      <c r="H119" s="16">
        <v>1.0</v>
      </c>
      <c r="I119" s="16">
        <v>15998.211000000001</v>
      </c>
      <c r="J119" s="16">
        <v>60882.535</v>
      </c>
      <c r="K119" s="16">
        <v>102.305</v>
      </c>
      <c r="L119" s="16">
        <v>1323.329</v>
      </c>
      <c r="M119" s="16">
        <v>9.638</v>
      </c>
      <c r="N119" s="16">
        <v>9.0</v>
      </c>
      <c r="O119" s="16">
        <v>1.58</v>
      </c>
      <c r="P119" s="17">
        <v>8.0</v>
      </c>
      <c r="Q119" s="17" t="str">
        <f t="shared" si="1"/>
        <v>5.063291139</v>
      </c>
      <c r="R119" s="17" t="str">
        <f t="shared" si="2"/>
        <v>9.638</v>
      </c>
      <c r="S119" s="17" t="str">
        <f t="shared" si="8"/>
        <v>0.1755555556</v>
      </c>
      <c r="T119" s="17" t="s">
        <v>30</v>
      </c>
      <c r="U119" s="17" t="str">
        <f t="shared" ref="U119:U125" si="113">IF(R119&gt;1,"Thermal Fault &lt;700c, thermal fault &gt;700c ")</f>
        <v>Thermal Fault &lt;700c, thermal fault &gt;700c </v>
      </c>
      <c r="V119" s="17" t="str">
        <f>IF(S119&lt;1,"Partial discharge, Normal ",IF(S119&gt;3,"Arching,Thermal  Fault &gt; 700 c"))</f>
        <v>Partial discharge, Normal </v>
      </c>
      <c r="W119" s="17" t="str">
        <f t="shared" si="3"/>
        <v>5.063291139</v>
      </c>
      <c r="X119" s="17" t="str">
        <f t="shared" si="33"/>
        <v>9.638</v>
      </c>
      <c r="Y119" s="17" t="str">
        <f t="shared" si="9"/>
        <v>0.1755555556</v>
      </c>
      <c r="Z119" s="17" t="str">
        <f>IF(W119&gt;1,"Discharge of Low Energy,  ",IF(W119&lt;0.1,"Thermal  Fault&gt; 300c and&lt;700 c"))</f>
        <v>Discharge of Low Energy,  </v>
      </c>
      <c r="AA119" s="17" t="str">
        <f t="shared" si="111"/>
        <v>Thermal  Fault &gt;300c and&lt;700 and &gt;700 c</v>
      </c>
      <c r="AB119" s="17" t="str">
        <f>IF(Y119&lt;0.2,"Partial Discharges, ",IF(Y119&gt;1,"Thermal  Fault  &gt;700 c"))</f>
        <v>Partial Discharges, </v>
      </c>
      <c r="AC119" s="17" t="str">
        <f t="shared" si="5"/>
        <v>9.638</v>
      </c>
      <c r="AD119" s="18" t="str">
        <f t="shared" si="10"/>
        <v>5.063291139</v>
      </c>
      <c r="AE119" s="17" t="str">
        <f t="shared" si="6"/>
        <v>0.8300477277</v>
      </c>
      <c r="AF119" s="17" t="str">
        <f t="shared" si="11"/>
        <v>1.125</v>
      </c>
      <c r="AG119" s="17" t="str">
        <f t="shared" si="112"/>
        <v>Thermal Decomposition, </v>
      </c>
      <c r="AH119" s="17" t="str">
        <f t="shared" si="68"/>
        <v>Arching</v>
      </c>
      <c r="AI119" s="17" t="str">
        <f t="shared" si="16"/>
        <v>Arching</v>
      </c>
      <c r="AJ119" s="17" t="str">
        <f t="shared" si="7"/>
        <v>Thermal Decomposition,corona </v>
      </c>
    </row>
    <row r="120" ht="12.75" customHeight="1">
      <c r="A120" s="11">
        <v>118.0</v>
      </c>
      <c r="B120" s="19" t="s">
        <v>155</v>
      </c>
      <c r="C120" s="19" t="s">
        <v>147</v>
      </c>
      <c r="D120" s="19" t="s">
        <v>148</v>
      </c>
      <c r="E120" s="19" t="s">
        <v>149</v>
      </c>
      <c r="F120" s="17">
        <v>2011.0</v>
      </c>
      <c r="G120" s="17">
        <v>8.4</v>
      </c>
      <c r="H120" s="16">
        <v>3.192</v>
      </c>
      <c r="I120" s="16">
        <v>15521.856000000003</v>
      </c>
      <c r="J120" s="16">
        <v>66827.04</v>
      </c>
      <c r="K120" s="16">
        <v>100.044</v>
      </c>
      <c r="L120" s="16">
        <v>960.12</v>
      </c>
      <c r="M120" s="16">
        <v>6.132000000000001</v>
      </c>
      <c r="N120" s="17">
        <v>9.0</v>
      </c>
      <c r="O120" s="17">
        <v>9.0</v>
      </c>
      <c r="P120" s="17">
        <v>4.0</v>
      </c>
      <c r="Q120" s="17" t="str">
        <f t="shared" si="1"/>
        <v>0.4444444444</v>
      </c>
      <c r="R120" s="17" t="str">
        <f t="shared" si="2"/>
        <v>1.921052632</v>
      </c>
      <c r="S120" s="17" t="str">
        <f t="shared" si="8"/>
        <v>1</v>
      </c>
      <c r="T120" s="17" t="str">
        <f t="shared" ref="T120:T124" si="114">IF(Q120&lt;1,"Partial discharge,Low Temprature thermal fault,")</f>
        <v>Partial discharge,Low Temprature thermal fault,</v>
      </c>
      <c r="U120" s="17" t="str">
        <f t="shared" si="113"/>
        <v>Thermal Fault &lt;700c, thermal fault &gt;700c </v>
      </c>
      <c r="V120" s="17" t="s">
        <v>37</v>
      </c>
      <c r="W120" s="17" t="str">
        <f t="shared" si="3"/>
        <v>0.4444444444</v>
      </c>
      <c r="X120" s="17" t="str">
        <f t="shared" si="33"/>
        <v>1.921052632</v>
      </c>
      <c r="Y120" s="17" t="str">
        <f t="shared" si="9"/>
        <v>1</v>
      </c>
      <c r="Z120" s="17" t="s">
        <v>34</v>
      </c>
      <c r="AA120" s="17" t="str">
        <f t="shared" si="111"/>
        <v>Thermal  Fault &gt;300c and&lt;700 and &gt;700 c</v>
      </c>
      <c r="AB120" s="17" t="s">
        <v>107</v>
      </c>
      <c r="AC120" s="17" t="str">
        <f t="shared" si="5"/>
        <v>1.921052632</v>
      </c>
      <c r="AD120" s="18" t="str">
        <f t="shared" si="10"/>
        <v>0.4444444444</v>
      </c>
      <c r="AE120" s="17" t="str">
        <f t="shared" si="6"/>
        <v>0.6523157208</v>
      </c>
      <c r="AF120" s="17" t="str">
        <f t="shared" si="11"/>
        <v>2.25</v>
      </c>
      <c r="AG120" s="17" t="str">
        <f t="shared" si="112"/>
        <v>Thermal Decomposition, </v>
      </c>
      <c r="AH120" s="17" t="str">
        <f t="shared" si="68"/>
        <v>Thermal Decomposition, </v>
      </c>
      <c r="AI120" s="17" t="str">
        <f t="shared" si="16"/>
        <v>Arching</v>
      </c>
      <c r="AJ120" s="17" t="str">
        <f t="shared" si="7"/>
        <v>Thermal Decomposition,corona </v>
      </c>
    </row>
    <row r="121" ht="12.75" customHeight="1">
      <c r="A121" s="11">
        <v>119.0</v>
      </c>
      <c r="B121" s="19" t="s">
        <v>161</v>
      </c>
      <c r="C121" s="19" t="s">
        <v>147</v>
      </c>
      <c r="D121" s="19" t="s">
        <v>148</v>
      </c>
      <c r="E121" s="19" t="s">
        <v>149</v>
      </c>
      <c r="F121" s="17">
        <v>2011.0</v>
      </c>
      <c r="G121" s="17">
        <v>8.2</v>
      </c>
      <c r="H121" s="16">
        <v>1.148</v>
      </c>
      <c r="I121" s="16">
        <v>15812.88</v>
      </c>
      <c r="J121" s="16">
        <v>63793.86799999999</v>
      </c>
      <c r="K121" s="16">
        <v>112.99599999999998</v>
      </c>
      <c r="L121" s="16">
        <v>1183.8339999999998</v>
      </c>
      <c r="M121" s="16">
        <v>8.856</v>
      </c>
      <c r="N121" s="17">
        <v>7.0</v>
      </c>
      <c r="O121" s="17">
        <v>8.0</v>
      </c>
      <c r="P121" s="17">
        <v>7.0</v>
      </c>
      <c r="Q121" s="17" t="str">
        <f t="shared" si="1"/>
        <v>0.875</v>
      </c>
      <c r="R121" s="17" t="str">
        <f t="shared" si="2"/>
        <v>7.714285714</v>
      </c>
      <c r="S121" s="17" t="str">
        <f t="shared" si="8"/>
        <v>1.142857143</v>
      </c>
      <c r="T121" s="17" t="str">
        <f t="shared" si="114"/>
        <v>Partial discharge,Low Temprature thermal fault,</v>
      </c>
      <c r="U121" s="17" t="str">
        <f t="shared" si="113"/>
        <v>Thermal Fault &lt;700c, thermal fault &gt;700c </v>
      </c>
      <c r="V121" s="17" t="s">
        <v>37</v>
      </c>
      <c r="W121" s="17" t="str">
        <f t="shared" si="3"/>
        <v>0.875</v>
      </c>
      <c r="X121" s="17" t="str">
        <f t="shared" si="33"/>
        <v>7.714285714</v>
      </c>
      <c r="Y121" s="17" t="str">
        <f t="shared" si="9"/>
        <v>1.142857143</v>
      </c>
      <c r="Z121" s="17" t="s">
        <v>34</v>
      </c>
      <c r="AA121" s="17" t="str">
        <f t="shared" si="111"/>
        <v>Thermal  Fault &gt;300c and&lt;700 and &gt;700 c</v>
      </c>
      <c r="AB121" s="17" t="str">
        <f>IF(Y121&lt;0.2,"Partial Discharges, ",IF(Y121&gt;1,"Thermal  Fault  &gt;700 c"))</f>
        <v>Thermal  Fault  &gt;700 c</v>
      </c>
      <c r="AC121" s="17" t="str">
        <f t="shared" si="5"/>
        <v>7.714285714</v>
      </c>
      <c r="AD121" s="18" t="str">
        <f t="shared" si="10"/>
        <v>0.875</v>
      </c>
      <c r="AE121" s="17" t="str">
        <f t="shared" si="6"/>
        <v>0.7904245709</v>
      </c>
      <c r="AF121" s="17" t="str">
        <f t="shared" si="11"/>
        <v>1</v>
      </c>
      <c r="AG121" s="17" t="str">
        <f t="shared" si="112"/>
        <v>Thermal Decomposition, </v>
      </c>
      <c r="AH121" s="17" t="str">
        <f t="shared" si="68"/>
        <v>Arching</v>
      </c>
      <c r="AI121" s="17" t="str">
        <f t="shared" si="16"/>
        <v>Arching</v>
      </c>
      <c r="AJ121" s="17" t="str">
        <f t="shared" si="7"/>
        <v>Thermal Decomposition,corona </v>
      </c>
    </row>
    <row r="122" ht="12.75" customHeight="1">
      <c r="A122" s="11">
        <v>120.0</v>
      </c>
      <c r="B122" s="19" t="s">
        <v>155</v>
      </c>
      <c r="C122" s="19" t="s">
        <v>147</v>
      </c>
      <c r="D122" s="19" t="s">
        <v>148</v>
      </c>
      <c r="E122" s="19" t="s">
        <v>149</v>
      </c>
      <c r="F122" s="17">
        <v>2011.0</v>
      </c>
      <c r="G122" s="17">
        <v>8.5</v>
      </c>
      <c r="H122" s="16">
        <v>5.525</v>
      </c>
      <c r="I122" s="16">
        <v>16580.609999999997</v>
      </c>
      <c r="J122" s="16">
        <v>66042.11</v>
      </c>
      <c r="K122" s="16">
        <v>129.115</v>
      </c>
      <c r="L122" s="16">
        <v>1264.2815</v>
      </c>
      <c r="M122" s="16">
        <v>9.35</v>
      </c>
      <c r="N122" s="17">
        <v>8.0</v>
      </c>
      <c r="O122" s="17">
        <v>6.0</v>
      </c>
      <c r="P122" s="16">
        <v>4.0</v>
      </c>
      <c r="Q122" s="17" t="str">
        <f t="shared" si="1"/>
        <v>0.6666666667</v>
      </c>
      <c r="R122" s="17" t="str">
        <f t="shared" si="2"/>
        <v>1.692307692</v>
      </c>
      <c r="S122" s="17" t="str">
        <f t="shared" si="8"/>
        <v>0.75</v>
      </c>
      <c r="T122" s="17" t="str">
        <f t="shared" si="114"/>
        <v>Partial discharge,Low Temprature thermal fault,</v>
      </c>
      <c r="U122" s="17" t="str">
        <f t="shared" si="113"/>
        <v>Thermal Fault &lt;700c, thermal fault &gt;700c </v>
      </c>
      <c r="V122" s="17" t="str">
        <f>IF(S122&lt;1,"Partial discharge, Normal ",IF(S122&gt;3,"Arching,Thermal  Fault &gt; 700 c"))</f>
        <v>Partial discharge, Normal </v>
      </c>
      <c r="W122" s="17" t="str">
        <f t="shared" si="3"/>
        <v>0.6666666667</v>
      </c>
      <c r="X122" s="17" t="str">
        <f t="shared" si="33"/>
        <v>1.692307692</v>
      </c>
      <c r="Y122" s="17" t="str">
        <f t="shared" si="9"/>
        <v>0.75</v>
      </c>
      <c r="Z122" s="17" t="s">
        <v>34</v>
      </c>
      <c r="AA122" s="17" t="str">
        <f t="shared" si="111"/>
        <v>Thermal  Fault &gt;300c and&lt;700 and &gt;700 c</v>
      </c>
      <c r="AB122" s="17" t="s">
        <v>107</v>
      </c>
      <c r="AC122" s="17" t="str">
        <f t="shared" si="5"/>
        <v>1.692307692</v>
      </c>
      <c r="AD122" s="18" t="str">
        <f t="shared" si="10"/>
        <v>0.6666666667</v>
      </c>
      <c r="AE122" s="17" t="str">
        <f t="shared" si="6"/>
        <v>0.4278074866</v>
      </c>
      <c r="AF122" s="17" t="str">
        <f t="shared" si="11"/>
        <v>2</v>
      </c>
      <c r="AG122" s="17" t="str">
        <f t="shared" si="112"/>
        <v>Thermal Decomposition, </v>
      </c>
      <c r="AH122" s="17" t="str">
        <f t="shared" si="68"/>
        <v>Thermal Decomposition, </v>
      </c>
      <c r="AI122" s="17" t="str">
        <f t="shared" si="16"/>
        <v>Arching</v>
      </c>
      <c r="AJ122" s="17" t="str">
        <f t="shared" si="7"/>
        <v>Thermal Decomposition,corona </v>
      </c>
    </row>
    <row r="123" ht="12.75" customHeight="1">
      <c r="A123" s="11">
        <v>121.0</v>
      </c>
      <c r="B123" s="19" t="s">
        <v>162</v>
      </c>
      <c r="C123" s="19" t="s">
        <v>147</v>
      </c>
      <c r="D123" s="19" t="s">
        <v>148</v>
      </c>
      <c r="E123" s="19" t="s">
        <v>149</v>
      </c>
      <c r="F123" s="17">
        <v>2011.0</v>
      </c>
      <c r="G123" s="17">
        <v>7.6</v>
      </c>
      <c r="H123" s="16">
        <v>6.5360000000000005</v>
      </c>
      <c r="I123" s="16">
        <v>14218.612</v>
      </c>
      <c r="J123" s="16">
        <v>59415.052</v>
      </c>
      <c r="K123" s="16">
        <v>120.004</v>
      </c>
      <c r="L123" s="16">
        <v>1322.704</v>
      </c>
      <c r="M123" s="16">
        <v>8.36</v>
      </c>
      <c r="N123" s="16">
        <v>6.0</v>
      </c>
      <c r="O123" s="16">
        <v>9.0</v>
      </c>
      <c r="P123" s="16">
        <v>8.0</v>
      </c>
      <c r="Q123" s="17" t="str">
        <f t="shared" si="1"/>
        <v>0.8888888889</v>
      </c>
      <c r="R123" s="17" t="str">
        <f t="shared" si="2"/>
        <v>1.279069767</v>
      </c>
      <c r="S123" s="17" t="str">
        <f t="shared" si="8"/>
        <v>1.5</v>
      </c>
      <c r="T123" s="17" t="str">
        <f t="shared" si="114"/>
        <v>Partial discharge,Low Temprature thermal fault,</v>
      </c>
      <c r="U123" s="17" t="str">
        <f t="shared" si="113"/>
        <v>Thermal Fault &lt;700c, thermal fault &gt;700c </v>
      </c>
      <c r="V123" s="17" t="s">
        <v>37</v>
      </c>
      <c r="W123" s="17" t="str">
        <f t="shared" si="3"/>
        <v>0.8888888889</v>
      </c>
      <c r="X123" s="17" t="str">
        <f t="shared" si="33"/>
        <v>1.279069767</v>
      </c>
      <c r="Y123" s="17" t="str">
        <f t="shared" si="9"/>
        <v>1.5</v>
      </c>
      <c r="Z123" s="17" t="s">
        <v>34</v>
      </c>
      <c r="AA123" s="17" t="str">
        <f t="shared" si="111"/>
        <v>Thermal  Fault &gt;300c and&lt;700 and &gt;700 c</v>
      </c>
      <c r="AB123" s="17" t="str">
        <f>IF(Y123&lt;0.2,"Partial Discharges, ",IF(Y123&gt;1,"Thermal  Fault  &gt;700 c"))</f>
        <v>Thermal  Fault  &gt;700 c</v>
      </c>
      <c r="AC123" s="17" t="str">
        <f t="shared" si="5"/>
        <v>1.279069767</v>
      </c>
      <c r="AD123" s="18" t="str">
        <f t="shared" si="10"/>
        <v>0.8888888889</v>
      </c>
      <c r="AE123" s="17" t="str">
        <f t="shared" si="6"/>
        <v>0.956937799</v>
      </c>
      <c r="AF123" s="17" t="str">
        <f t="shared" si="11"/>
        <v>0.75</v>
      </c>
      <c r="AG123" s="17" t="str">
        <f t="shared" si="112"/>
        <v>Thermal Decomposition, </v>
      </c>
      <c r="AH123" s="17" t="str">
        <f t="shared" si="68"/>
        <v>Arching</v>
      </c>
      <c r="AI123" s="17" t="str">
        <f t="shared" si="16"/>
        <v>Arching</v>
      </c>
      <c r="AJ123" s="17" t="str">
        <f t="shared" si="7"/>
        <v>Thermal Decomposition,corona </v>
      </c>
    </row>
    <row r="124" ht="12.75" customHeight="1">
      <c r="A124" s="11">
        <v>122.0</v>
      </c>
      <c r="B124" s="19" t="s">
        <v>163</v>
      </c>
      <c r="C124" s="19" t="s">
        <v>147</v>
      </c>
      <c r="D124" s="19" t="s">
        <v>148</v>
      </c>
      <c r="E124" s="19" t="s">
        <v>149</v>
      </c>
      <c r="F124" s="17">
        <v>2011.0</v>
      </c>
      <c r="G124" s="17">
        <v>7.3</v>
      </c>
      <c r="H124" s="16">
        <v>1.387</v>
      </c>
      <c r="I124" s="16">
        <v>14920.761999999999</v>
      </c>
      <c r="J124" s="16">
        <v>55917.05099999999</v>
      </c>
      <c r="K124" s="16">
        <v>109.20800000000001</v>
      </c>
      <c r="L124" s="16">
        <v>1138.289</v>
      </c>
      <c r="M124" s="16">
        <v>4.9639999999999995</v>
      </c>
      <c r="N124" s="16">
        <v>8.0</v>
      </c>
      <c r="O124" s="16">
        <v>7.0</v>
      </c>
      <c r="P124" s="16">
        <v>5.0</v>
      </c>
      <c r="Q124" s="17" t="str">
        <f t="shared" si="1"/>
        <v>0.7142857143</v>
      </c>
      <c r="R124" s="17" t="str">
        <f t="shared" si="2"/>
        <v>3.578947368</v>
      </c>
      <c r="S124" s="17" t="str">
        <f t="shared" si="8"/>
        <v>0.875</v>
      </c>
      <c r="T124" s="17" t="str">
        <f t="shared" si="114"/>
        <v>Partial discharge,Low Temprature thermal fault,</v>
      </c>
      <c r="U124" s="17" t="str">
        <f t="shared" si="113"/>
        <v>Thermal Fault &lt;700c, thermal fault &gt;700c </v>
      </c>
      <c r="V124" s="17" t="str">
        <f>IF(S124&lt;1,"Partial discharge, Normal ",IF(S124&gt;3,"Arching,Thermal  Fault &gt; 700 c"))</f>
        <v>Partial discharge, Normal </v>
      </c>
      <c r="W124" s="17" t="str">
        <f t="shared" si="3"/>
        <v>0.7142857143</v>
      </c>
      <c r="X124" s="17" t="str">
        <f t="shared" si="33"/>
        <v>3.578947368</v>
      </c>
      <c r="Y124" s="17" t="str">
        <f t="shared" si="9"/>
        <v>0.875</v>
      </c>
      <c r="Z124" s="17" t="s">
        <v>34</v>
      </c>
      <c r="AA124" s="17" t="str">
        <f t="shared" si="111"/>
        <v>Thermal  Fault &gt;300c and&lt;700 and &gt;700 c</v>
      </c>
      <c r="AB124" s="17" t="s">
        <v>107</v>
      </c>
      <c r="AC124" s="17" t="str">
        <f t="shared" si="5"/>
        <v>3.578947368</v>
      </c>
      <c r="AD124" s="18" t="str">
        <f t="shared" si="10"/>
        <v>0.7142857143</v>
      </c>
      <c r="AE124" s="17" t="str">
        <f t="shared" si="6"/>
        <v>1.007252216</v>
      </c>
      <c r="AF124" s="17" t="str">
        <f t="shared" si="11"/>
        <v>1.6</v>
      </c>
      <c r="AG124" s="17" t="str">
        <f t="shared" si="112"/>
        <v>Thermal Decomposition, </v>
      </c>
      <c r="AH124" s="17" t="str">
        <f t="shared" si="68"/>
        <v>Thermal Decomposition, </v>
      </c>
      <c r="AI124" s="17" t="str">
        <f t="shared" si="16"/>
        <v>Arching</v>
      </c>
      <c r="AJ124" s="17" t="str">
        <f t="shared" si="7"/>
        <v>Thermal Decomposition,corona </v>
      </c>
    </row>
    <row r="125" ht="12.75" customHeight="1">
      <c r="A125" s="11">
        <v>123.0</v>
      </c>
      <c r="B125" s="19" t="s">
        <v>164</v>
      </c>
      <c r="C125" s="19" t="s">
        <v>147</v>
      </c>
      <c r="D125" s="19" t="s">
        <v>148</v>
      </c>
      <c r="E125" s="19" t="s">
        <v>149</v>
      </c>
      <c r="F125" s="17">
        <v>2011.0</v>
      </c>
      <c r="G125" s="17">
        <v>7.6</v>
      </c>
      <c r="H125" s="16">
        <v>6.460000000000001</v>
      </c>
      <c r="I125" s="16">
        <v>14700.984</v>
      </c>
      <c r="J125" s="16">
        <v>59265.408</v>
      </c>
      <c r="K125" s="16">
        <v>132.392</v>
      </c>
      <c r="L125" s="16">
        <v>1432.296</v>
      </c>
      <c r="M125" s="16">
        <v>8.512</v>
      </c>
      <c r="N125" s="16">
        <v>5.0</v>
      </c>
      <c r="O125" s="16">
        <v>7.0</v>
      </c>
      <c r="P125" s="16">
        <v>9.0</v>
      </c>
      <c r="Q125" s="17" t="str">
        <f t="shared" si="1"/>
        <v>1.285714286</v>
      </c>
      <c r="R125" s="17" t="str">
        <f t="shared" si="2"/>
        <v>1.317647059</v>
      </c>
      <c r="S125" s="17" t="str">
        <f t="shared" si="8"/>
        <v>1.4</v>
      </c>
      <c r="T125" s="17" t="s">
        <v>30</v>
      </c>
      <c r="U125" s="17" t="str">
        <f t="shared" si="113"/>
        <v>Thermal Fault &lt;700c, thermal fault &gt;700c </v>
      </c>
      <c r="V125" s="17" t="s">
        <v>37</v>
      </c>
      <c r="W125" s="17" t="str">
        <f t="shared" si="3"/>
        <v>1.285714286</v>
      </c>
      <c r="X125" s="17" t="str">
        <f t="shared" si="33"/>
        <v>1.317647059</v>
      </c>
      <c r="Y125" s="17" t="str">
        <f t="shared" si="9"/>
        <v>1.4</v>
      </c>
      <c r="Z125" s="17" t="str">
        <f>IF(W125&gt;1,"Discharge of Low Energy,  ",IF(W125&lt;0.1,"Thermal  Fault&gt; 300c and&lt;700 c"))</f>
        <v>Discharge of Low Energy,  </v>
      </c>
      <c r="AA125" s="17" t="str">
        <f t="shared" si="111"/>
        <v>Thermal  Fault &gt;300c and&lt;700 and &gt;700 c</v>
      </c>
      <c r="AB125" s="17" t="str">
        <f t="shared" ref="AB125:AB126" si="115">IF(Y125&lt;0.2,"Partial Discharges, ",IF(Y125&gt;1,"Thermal  Fault  &gt;700 c"))</f>
        <v>Thermal  Fault  &gt;700 c</v>
      </c>
      <c r="AC125" s="17" t="str">
        <f t="shared" si="5"/>
        <v>1.317647059</v>
      </c>
      <c r="AD125" s="18" t="str">
        <f t="shared" si="10"/>
        <v>1.285714286</v>
      </c>
      <c r="AE125" s="17" t="str">
        <f t="shared" si="6"/>
        <v>1.057330827</v>
      </c>
      <c r="AF125" s="17" t="str">
        <f t="shared" si="11"/>
        <v>0.5555555556</v>
      </c>
      <c r="AG125" s="17" t="str">
        <f t="shared" si="112"/>
        <v>Thermal Decomposition, </v>
      </c>
      <c r="AH125" s="17" t="str">
        <f t="shared" si="68"/>
        <v>Arching</v>
      </c>
      <c r="AI125" s="17" t="str">
        <f t="shared" si="16"/>
        <v>Arching</v>
      </c>
      <c r="AJ125" s="17" t="str">
        <f t="shared" si="7"/>
        <v>Thermal Decomposition,corona </v>
      </c>
    </row>
    <row r="126" ht="12.75" customHeight="1">
      <c r="A126" s="11">
        <v>124.0</v>
      </c>
      <c r="B126" s="17" t="s">
        <v>165</v>
      </c>
      <c r="C126" s="17" t="s">
        <v>99</v>
      </c>
      <c r="D126" s="17" t="s">
        <v>166</v>
      </c>
      <c r="E126" s="19" t="s">
        <v>93</v>
      </c>
      <c r="F126" s="17">
        <v>2010.0</v>
      </c>
      <c r="G126" s="17">
        <v>8.5</v>
      </c>
      <c r="H126" s="16">
        <v>7.2250000000000005</v>
      </c>
      <c r="I126" s="16">
        <v>15728.06</v>
      </c>
      <c r="J126" s="16">
        <v>66868.56499999999</v>
      </c>
      <c r="K126" s="16">
        <v>117.46999999999998</v>
      </c>
      <c r="L126" s="16">
        <v>1283.245</v>
      </c>
      <c r="M126" s="16">
        <v>2.0399999999999996</v>
      </c>
      <c r="N126" s="17">
        <v>4.0</v>
      </c>
      <c r="O126" s="17">
        <v>6.0</v>
      </c>
      <c r="P126" s="17">
        <v>4.0</v>
      </c>
      <c r="Q126" s="17" t="str">
        <f t="shared" si="1"/>
        <v>0.6666666667</v>
      </c>
      <c r="R126" s="17" t="str">
        <f t="shared" si="2"/>
        <v>0.2823529412</v>
      </c>
      <c r="S126" s="17" t="str">
        <f t="shared" si="8"/>
        <v>1.5</v>
      </c>
      <c r="T126" s="17" t="str">
        <f>IF(Q126&lt;1,"Partial discharge,Low Temprature thermal fault,")</f>
        <v>Partial discharge,Low Temprature thermal fault,</v>
      </c>
      <c r="U126" s="17" t="s">
        <v>31</v>
      </c>
      <c r="V126" s="17" t="s">
        <v>37</v>
      </c>
      <c r="W126" s="17" t="str">
        <f t="shared" si="3"/>
        <v>0.6666666667</v>
      </c>
      <c r="X126" s="17" t="str">
        <f t="shared" si="33"/>
        <v>0.2823529412</v>
      </c>
      <c r="Y126" s="17" t="str">
        <f t="shared" si="9"/>
        <v>1.5</v>
      </c>
      <c r="Z126" s="17" t="s">
        <v>34</v>
      </c>
      <c r="AA126" s="17" t="s">
        <v>34</v>
      </c>
      <c r="AB126" s="17" t="str">
        <f t="shared" si="115"/>
        <v>Thermal  Fault  &gt;700 c</v>
      </c>
      <c r="AC126" s="17" t="str">
        <f t="shared" si="5"/>
        <v>0.2823529412</v>
      </c>
      <c r="AD126" s="18" t="str">
        <f t="shared" si="10"/>
        <v>0.6666666667</v>
      </c>
      <c r="AE126" s="17" t="str">
        <f t="shared" si="6"/>
        <v>1.960784314</v>
      </c>
      <c r="AF126" s="17" t="str">
        <f t="shared" si="11"/>
        <v>1</v>
      </c>
      <c r="AG126" s="17" t="s">
        <v>30</v>
      </c>
      <c r="AH126" s="17" t="str">
        <f t="shared" si="68"/>
        <v>Thermal Decomposition, </v>
      </c>
      <c r="AI126" s="17" t="str">
        <f t="shared" si="16"/>
        <v>Arching</v>
      </c>
      <c r="AJ126" s="17" t="str">
        <f t="shared" si="7"/>
        <v>Thermal Decomposition,corona </v>
      </c>
    </row>
    <row r="127" ht="12.75" customHeight="1">
      <c r="A127" s="11">
        <v>125.0</v>
      </c>
      <c r="B127" s="17" t="s">
        <v>167</v>
      </c>
      <c r="C127" s="17" t="s">
        <v>99</v>
      </c>
      <c r="D127" s="17" t="s">
        <v>166</v>
      </c>
      <c r="E127" s="19" t="s">
        <v>93</v>
      </c>
      <c r="F127" s="17">
        <v>2010.0</v>
      </c>
      <c r="G127" s="17">
        <v>8.7</v>
      </c>
      <c r="H127" s="16">
        <v>9.309</v>
      </c>
      <c r="I127" s="16">
        <v>16125.971999999998</v>
      </c>
      <c r="J127" s="16">
        <v>68530.42199999999</v>
      </c>
      <c r="K127" s="16">
        <v>126.411</v>
      </c>
      <c r="L127" s="16">
        <v>1447.071</v>
      </c>
      <c r="M127" s="16">
        <v>4.0889999999999995</v>
      </c>
      <c r="N127" s="17">
        <v>9.0</v>
      </c>
      <c r="O127" s="17">
        <v>6.0</v>
      </c>
      <c r="P127" s="17">
        <v>7.0</v>
      </c>
      <c r="Q127" s="17" t="str">
        <f t="shared" si="1"/>
        <v>1.166666667</v>
      </c>
      <c r="R127" s="17" t="str">
        <f t="shared" si="2"/>
        <v>0.4392523364</v>
      </c>
      <c r="S127" s="17" t="str">
        <f t="shared" si="8"/>
        <v>0.6666666667</v>
      </c>
      <c r="T127" s="17" t="s">
        <v>30</v>
      </c>
      <c r="U127" s="17" t="s">
        <v>31</v>
      </c>
      <c r="V127" s="17" t="str">
        <f t="shared" ref="V127:V132" si="116">IF(S127&lt;1,"Partial discharge, Normal ",IF(S127&gt;3,"Arching,Thermal  Fault &gt; 700 c"))</f>
        <v>Partial discharge, Normal </v>
      </c>
      <c r="W127" s="17" t="str">
        <f t="shared" si="3"/>
        <v>1.166666667</v>
      </c>
      <c r="X127" s="17" t="str">
        <f t="shared" si="33"/>
        <v>0.4392523364</v>
      </c>
      <c r="Y127" s="17" t="str">
        <f t="shared" si="9"/>
        <v>0.6666666667</v>
      </c>
      <c r="Z127" s="17" t="str">
        <f t="shared" ref="Z127:Z129" si="117">IF(W127&gt;1,"Discharge of Low Energy,  ",IF(W127&lt;0.1,"Thermal  Fault&gt; 300c and&lt;700 c"))</f>
        <v>Discharge of Low Energy,  </v>
      </c>
      <c r="AA127" s="17" t="s">
        <v>34</v>
      </c>
      <c r="AB127" s="17" t="s">
        <v>107</v>
      </c>
      <c r="AC127" s="17" t="str">
        <f t="shared" si="5"/>
        <v>0.4392523364</v>
      </c>
      <c r="AD127" s="18" t="str">
        <f t="shared" si="10"/>
        <v>1.166666667</v>
      </c>
      <c r="AE127" s="17" t="str">
        <f t="shared" si="6"/>
        <v>1.711910002</v>
      </c>
      <c r="AF127" s="17" t="str">
        <f t="shared" si="11"/>
        <v>1.285714286</v>
      </c>
      <c r="AG127" s="17" t="s">
        <v>30</v>
      </c>
      <c r="AH127" s="17" t="str">
        <f t="shared" si="68"/>
        <v>Arching</v>
      </c>
      <c r="AI127" s="17" t="str">
        <f t="shared" si="16"/>
        <v>Arching</v>
      </c>
      <c r="AJ127" s="17" t="str">
        <f t="shared" si="7"/>
        <v>Thermal Decomposition,corona </v>
      </c>
    </row>
    <row r="128" ht="12.75" customHeight="1">
      <c r="A128" s="11">
        <v>126.0</v>
      </c>
      <c r="B128" s="14">
        <v>1.0000000021E10</v>
      </c>
      <c r="C128" s="14" t="s">
        <v>40</v>
      </c>
      <c r="D128" s="14" t="s">
        <v>41</v>
      </c>
      <c r="E128" s="14" t="s">
        <v>44</v>
      </c>
      <c r="F128" s="14">
        <v>2013.0</v>
      </c>
      <c r="G128" s="19">
        <v>8.2</v>
      </c>
      <c r="H128" s="16">
        <v>9.101999999999999</v>
      </c>
      <c r="I128" s="16">
        <v>15283.651999999998</v>
      </c>
      <c r="J128" s="16">
        <v>63336.06199999999</v>
      </c>
      <c r="K128" s="16">
        <v>187.37</v>
      </c>
      <c r="L128" s="16">
        <v>2234.6639999999998</v>
      </c>
      <c r="M128" s="16">
        <v>11.808</v>
      </c>
      <c r="N128" s="16">
        <v>108.65</v>
      </c>
      <c r="O128" s="16">
        <v>29.929999999999996</v>
      </c>
      <c r="P128" s="19">
        <v>99.0</v>
      </c>
      <c r="Q128" s="17" t="str">
        <f t="shared" si="1"/>
        <v>3.307718009</v>
      </c>
      <c r="R128" s="17" t="str">
        <f t="shared" si="2"/>
        <v>1.297297297</v>
      </c>
      <c r="S128" s="17" t="str">
        <f t="shared" si="8"/>
        <v>0.2754716981</v>
      </c>
      <c r="T128" s="17" t="s">
        <v>30</v>
      </c>
      <c r="U128" s="17" t="str">
        <f t="shared" ref="U128:U131" si="118">IF(R128&gt;1,"Thermal Fault &lt;700c, thermal fault &gt;700c ")</f>
        <v>Thermal Fault &lt;700c, thermal fault &gt;700c </v>
      </c>
      <c r="V128" s="17" t="str">
        <f t="shared" si="116"/>
        <v>Partial discharge, Normal </v>
      </c>
      <c r="W128" s="17" t="str">
        <f t="shared" si="3"/>
        <v>3.307718009</v>
      </c>
      <c r="X128" s="17" t="str">
        <f t="shared" si="33"/>
        <v>1.297297297</v>
      </c>
      <c r="Y128" s="17" t="str">
        <f t="shared" si="9"/>
        <v>0.2754716981</v>
      </c>
      <c r="Z128" s="17" t="str">
        <f t="shared" si="117"/>
        <v>Discharge of Low Energy,  </v>
      </c>
      <c r="AA128" s="17" t="str">
        <f t="shared" ref="AA128:AA131" si="119">IF(X128&lt;0.1,"Partial Discharges, ",IF(X128&gt;1,"Thermal  Fault &gt;300c and&lt;700 and &gt;700 c"))</f>
        <v>Thermal  Fault &gt;300c and&lt;700 and &gt;700 c</v>
      </c>
      <c r="AB128" s="17" t="s">
        <v>107</v>
      </c>
      <c r="AC128" s="17" t="str">
        <f t="shared" si="5"/>
        <v>1.297297297</v>
      </c>
      <c r="AD128" s="18" t="str">
        <f t="shared" si="10"/>
        <v>3.307718009</v>
      </c>
      <c r="AE128" s="17" t="str">
        <f t="shared" si="6"/>
        <v>8.384146341</v>
      </c>
      <c r="AF128" s="17" t="str">
        <f t="shared" si="11"/>
        <v>1.097474747</v>
      </c>
      <c r="AG128" s="17" t="str">
        <f t="shared" ref="AG128:AG131" si="120">IF(AC128&gt;1,"Thermal Decomposition, ",IF(AC128&lt;0.1,"Corona,Arching"))</f>
        <v>Thermal Decomposition, </v>
      </c>
      <c r="AH128" s="17" t="str">
        <f t="shared" si="68"/>
        <v>Arching</v>
      </c>
      <c r="AI128" s="17" t="str">
        <f t="shared" si="16"/>
        <v>Arching</v>
      </c>
      <c r="AJ128" s="17" t="str">
        <f t="shared" si="7"/>
        <v>Thermal Decomposition,corona </v>
      </c>
    </row>
    <row r="129" ht="12.75" customHeight="1">
      <c r="A129" s="11">
        <v>127.0</v>
      </c>
      <c r="B129" s="14">
        <v>172580.0</v>
      </c>
      <c r="C129" s="14" t="s">
        <v>40</v>
      </c>
      <c r="D129" s="14" t="s">
        <v>41</v>
      </c>
      <c r="E129" s="13" t="s">
        <v>168</v>
      </c>
      <c r="F129" s="14">
        <v>2006.0</v>
      </c>
      <c r="G129" s="19">
        <v>8.4</v>
      </c>
      <c r="H129" s="16">
        <v>3.948</v>
      </c>
      <c r="I129" s="16">
        <v>15711.444</v>
      </c>
      <c r="J129" s="16">
        <v>64968.708000000006</v>
      </c>
      <c r="K129" s="16">
        <v>228.648</v>
      </c>
      <c r="L129" s="16">
        <v>2419.872</v>
      </c>
      <c r="M129" s="16">
        <v>14.700000000000003</v>
      </c>
      <c r="N129" s="16">
        <v>50.82</v>
      </c>
      <c r="O129" s="16">
        <v>21.42</v>
      </c>
      <c r="P129" s="19">
        <v>45.0</v>
      </c>
      <c r="Q129" s="17" t="str">
        <f t="shared" si="1"/>
        <v>2.100840336</v>
      </c>
      <c r="R129" s="17" t="str">
        <f t="shared" si="2"/>
        <v>3.723404255</v>
      </c>
      <c r="S129" s="17" t="str">
        <f t="shared" si="8"/>
        <v>0.4214876033</v>
      </c>
      <c r="T129" s="17" t="s">
        <v>30</v>
      </c>
      <c r="U129" s="17" t="str">
        <f t="shared" si="118"/>
        <v>Thermal Fault &lt;700c, thermal fault &gt;700c </v>
      </c>
      <c r="V129" s="17" t="str">
        <f t="shared" si="116"/>
        <v>Partial discharge, Normal </v>
      </c>
      <c r="W129" s="17" t="str">
        <f t="shared" si="3"/>
        <v>2.100840336</v>
      </c>
      <c r="X129" s="17" t="str">
        <f t="shared" si="33"/>
        <v>3.723404255</v>
      </c>
      <c r="Y129" s="17" t="str">
        <f t="shared" si="9"/>
        <v>0.4214876033</v>
      </c>
      <c r="Z129" s="17" t="str">
        <f t="shared" si="117"/>
        <v>Discharge of Low Energy,  </v>
      </c>
      <c r="AA129" s="17" t="str">
        <f t="shared" si="119"/>
        <v>Thermal  Fault &gt;300c and&lt;700 and &gt;700 c</v>
      </c>
      <c r="AB129" s="17" t="s">
        <v>107</v>
      </c>
      <c r="AC129" s="17" t="str">
        <f t="shared" si="5"/>
        <v>3.723404255</v>
      </c>
      <c r="AD129" s="18" t="str">
        <f t="shared" si="10"/>
        <v>2.100840336</v>
      </c>
      <c r="AE129" s="17" t="str">
        <f t="shared" si="6"/>
        <v>3.06122449</v>
      </c>
      <c r="AF129" s="17" t="str">
        <f t="shared" si="11"/>
        <v>1.129333333</v>
      </c>
      <c r="AG129" s="17" t="str">
        <f t="shared" si="120"/>
        <v>Thermal Decomposition, </v>
      </c>
      <c r="AH129" s="17" t="str">
        <f t="shared" si="68"/>
        <v>Arching</v>
      </c>
      <c r="AI129" s="17" t="str">
        <f t="shared" si="16"/>
        <v>Arching</v>
      </c>
      <c r="AJ129" s="17" t="str">
        <f t="shared" si="7"/>
        <v>Thermal Decomposition,corona </v>
      </c>
    </row>
    <row r="130" ht="12.75" customHeight="1">
      <c r="A130" s="11">
        <v>128.0</v>
      </c>
      <c r="B130" s="14" t="s">
        <v>169</v>
      </c>
      <c r="C130" s="14" t="s">
        <v>40</v>
      </c>
      <c r="D130" s="14" t="s">
        <v>41</v>
      </c>
      <c r="E130" s="13" t="s">
        <v>168</v>
      </c>
      <c r="F130" s="14">
        <v>2006.0</v>
      </c>
      <c r="G130" s="19">
        <v>7.8</v>
      </c>
      <c r="H130" s="16">
        <v>1.7160000000000002</v>
      </c>
      <c r="I130" s="16">
        <v>14555.189999999999</v>
      </c>
      <c r="J130" s="16">
        <v>60930.948000000004</v>
      </c>
      <c r="K130" s="16">
        <v>149.994</v>
      </c>
      <c r="L130" s="16">
        <v>1546.272</v>
      </c>
      <c r="M130" s="16">
        <v>27.222</v>
      </c>
      <c r="N130" s="16">
        <v>22.152</v>
      </c>
      <c r="O130" s="16">
        <v>232.83</v>
      </c>
      <c r="P130" s="19">
        <v>224.0</v>
      </c>
      <c r="Q130" s="17" t="str">
        <f t="shared" si="1"/>
        <v>0.9620753339</v>
      </c>
      <c r="R130" s="17" t="str">
        <f t="shared" si="2"/>
        <v>15.86363636</v>
      </c>
      <c r="S130" s="17" t="str">
        <f t="shared" si="8"/>
        <v>10.51056338</v>
      </c>
      <c r="T130" s="17" t="str">
        <f>IF(Q130&lt;1,"Partial discharge,Low Temprature thermal fault,")</f>
        <v>Partial discharge,Low Temprature thermal fault,</v>
      </c>
      <c r="U130" s="17" t="str">
        <f t="shared" si="118"/>
        <v>Thermal Fault &lt;700c, thermal fault &gt;700c </v>
      </c>
      <c r="V130" s="17" t="str">
        <f t="shared" si="116"/>
        <v>Arching,Thermal  Fault &gt; 700 c</v>
      </c>
      <c r="W130" s="17" t="str">
        <f t="shared" si="3"/>
        <v>0.9620753339</v>
      </c>
      <c r="X130" s="17" t="str">
        <f t="shared" si="33"/>
        <v>15.86363636</v>
      </c>
      <c r="Y130" s="17" t="str">
        <f t="shared" si="9"/>
        <v>10.51056338</v>
      </c>
      <c r="Z130" s="17" t="s">
        <v>34</v>
      </c>
      <c r="AA130" s="17" t="str">
        <f t="shared" si="119"/>
        <v>Thermal  Fault &gt;300c and&lt;700 and &gt;700 c</v>
      </c>
      <c r="AB130" s="17" t="str">
        <f t="shared" ref="AB130:AB131" si="121">IF(Y130&lt;0.2,"Partial Discharges, ",IF(Y130&gt;1,"Thermal  Fault  &gt;700 c"))</f>
        <v>Thermal  Fault  &gt;700 c</v>
      </c>
      <c r="AC130" s="17" t="str">
        <f t="shared" si="5"/>
        <v>15.86363636</v>
      </c>
      <c r="AD130" s="18" t="str">
        <f t="shared" si="10"/>
        <v>0.9620753339</v>
      </c>
      <c r="AE130" s="17" t="str">
        <f t="shared" si="6"/>
        <v>8.228638601</v>
      </c>
      <c r="AF130" s="17" t="str">
        <f t="shared" si="11"/>
        <v>0.09889285714</v>
      </c>
      <c r="AG130" s="17" t="str">
        <f t="shared" si="120"/>
        <v>Thermal Decomposition, </v>
      </c>
      <c r="AH130" s="17" t="str">
        <f t="shared" si="68"/>
        <v>Arching</v>
      </c>
      <c r="AI130" s="17" t="str">
        <f t="shared" si="16"/>
        <v>Arching</v>
      </c>
      <c r="AJ130" s="17" t="str">
        <f t="shared" si="7"/>
        <v>Arching</v>
      </c>
    </row>
    <row r="131" ht="12.75" customHeight="1">
      <c r="A131" s="11">
        <v>129.0</v>
      </c>
      <c r="B131" s="14" t="s">
        <v>170</v>
      </c>
      <c r="C131" s="14" t="s">
        <v>40</v>
      </c>
      <c r="D131" s="14" t="s">
        <v>41</v>
      </c>
      <c r="E131" s="13" t="s">
        <v>171</v>
      </c>
      <c r="F131" s="14">
        <v>2013.0</v>
      </c>
      <c r="G131" s="19">
        <v>8.2</v>
      </c>
      <c r="H131" s="16">
        <v>12.709999999999999</v>
      </c>
      <c r="I131" s="16">
        <v>15477.991999999998</v>
      </c>
      <c r="J131" s="16">
        <v>62866.612</v>
      </c>
      <c r="K131" s="16">
        <v>253.13399999999996</v>
      </c>
      <c r="L131" s="16">
        <v>2793.576</v>
      </c>
      <c r="M131" s="16">
        <v>13.038</v>
      </c>
      <c r="N131" s="16">
        <v>61.90999999999999</v>
      </c>
      <c r="O131" s="16">
        <v>11.562</v>
      </c>
      <c r="P131" s="19">
        <v>55.0</v>
      </c>
      <c r="Q131" s="17" t="str">
        <f t="shared" si="1"/>
        <v>4.756962463</v>
      </c>
      <c r="R131" s="17" t="str">
        <f t="shared" si="2"/>
        <v>1.025806452</v>
      </c>
      <c r="S131" s="17" t="str">
        <f t="shared" si="8"/>
        <v>0.1867549669</v>
      </c>
      <c r="T131" s="17" t="s">
        <v>30</v>
      </c>
      <c r="U131" s="17" t="str">
        <f t="shared" si="118"/>
        <v>Thermal Fault &lt;700c, thermal fault &gt;700c </v>
      </c>
      <c r="V131" s="17" t="str">
        <f t="shared" si="116"/>
        <v>Partial discharge, Normal </v>
      </c>
      <c r="W131" s="17" t="str">
        <f t="shared" si="3"/>
        <v>4.756962463</v>
      </c>
      <c r="X131" s="17" t="str">
        <f t="shared" si="33"/>
        <v>1.025806452</v>
      </c>
      <c r="Y131" s="17" t="str">
        <f t="shared" si="9"/>
        <v>0.1867549669</v>
      </c>
      <c r="Z131" s="17" t="str">
        <f t="shared" ref="Z131:Z133" si="122">IF(W131&gt;1,"Discharge of Low Energy,  ",IF(W131&lt;0.1,"Thermal  Fault&gt; 300c and&lt;700 c"))</f>
        <v>Discharge of Low Energy,  </v>
      </c>
      <c r="AA131" s="17" t="str">
        <f t="shared" si="119"/>
        <v>Thermal  Fault &gt;300c and&lt;700 and &gt;700 c</v>
      </c>
      <c r="AB131" s="17" t="str">
        <f t="shared" si="121"/>
        <v>Partial Discharges, </v>
      </c>
      <c r="AC131" s="17" t="str">
        <f t="shared" si="5"/>
        <v>1.025806452</v>
      </c>
      <c r="AD131" s="18" t="str">
        <f t="shared" si="10"/>
        <v>4.756962463</v>
      </c>
      <c r="AE131" s="17" t="str">
        <f t="shared" si="6"/>
        <v>4.218438411</v>
      </c>
      <c r="AF131" s="17" t="str">
        <f t="shared" si="11"/>
        <v>1.125636364</v>
      </c>
      <c r="AG131" s="17" t="str">
        <f t="shared" si="120"/>
        <v>Thermal Decomposition, </v>
      </c>
      <c r="AH131" s="17" t="str">
        <f t="shared" si="68"/>
        <v>Arching</v>
      </c>
      <c r="AI131" s="17" t="str">
        <f t="shared" si="16"/>
        <v>Arching</v>
      </c>
      <c r="AJ131" s="17" t="str">
        <f t="shared" si="7"/>
        <v>Thermal Decomposition,corona </v>
      </c>
    </row>
    <row r="132" ht="12.75" customHeight="1">
      <c r="A132" s="11">
        <v>130.0</v>
      </c>
      <c r="B132" s="14">
        <v>2019003.0</v>
      </c>
      <c r="C132" s="14" t="s">
        <v>99</v>
      </c>
      <c r="D132" s="14" t="s">
        <v>172</v>
      </c>
      <c r="E132" s="14" t="s">
        <v>91</v>
      </c>
      <c r="F132" s="14">
        <v>2007.0</v>
      </c>
      <c r="G132" s="19">
        <v>7.7</v>
      </c>
      <c r="H132" s="16">
        <v>2.849</v>
      </c>
      <c r="I132" s="16">
        <v>14016.772</v>
      </c>
      <c r="J132" s="16">
        <v>61120.136</v>
      </c>
      <c r="K132" s="16">
        <v>96.173</v>
      </c>
      <c r="L132" s="16">
        <v>1131.746</v>
      </c>
      <c r="M132" s="16">
        <v>1.617</v>
      </c>
      <c r="N132" s="19">
        <v>7.0</v>
      </c>
      <c r="O132" s="16">
        <v>2.7720000000000002</v>
      </c>
      <c r="P132" s="19">
        <v>8.0</v>
      </c>
      <c r="Q132" s="17" t="str">
        <f t="shared" si="1"/>
        <v>2.886002886</v>
      </c>
      <c r="R132" s="17" t="str">
        <f t="shared" si="2"/>
        <v>0.5675675676</v>
      </c>
      <c r="S132" s="17" t="str">
        <f t="shared" si="8"/>
        <v>0.396</v>
      </c>
      <c r="T132" s="17" t="s">
        <v>30</v>
      </c>
      <c r="U132" s="17" t="str">
        <f t="shared" ref="U132:U133" si="123">IF(R132&lt;0.1, "Partial discharge", "Low temperature thermal ")</f>
        <v>Low temperature thermal </v>
      </c>
      <c r="V132" s="17" t="str">
        <f t="shared" si="116"/>
        <v>Partial discharge, Normal </v>
      </c>
      <c r="W132" s="17" t="str">
        <f t="shared" si="3"/>
        <v>2.886002886</v>
      </c>
      <c r="X132" s="17" t="str">
        <f t="shared" si="33"/>
        <v>0.5675675676</v>
      </c>
      <c r="Y132" s="17" t="str">
        <f t="shared" si="9"/>
        <v>0.396</v>
      </c>
      <c r="Z132" s="17" t="str">
        <f t="shared" si="122"/>
        <v>Discharge of Low Energy,  </v>
      </c>
      <c r="AA132" s="17" t="s">
        <v>34</v>
      </c>
      <c r="AB132" s="17" t="s">
        <v>107</v>
      </c>
      <c r="AC132" s="17" t="str">
        <f t="shared" si="5"/>
        <v>0.5675675676</v>
      </c>
      <c r="AD132" s="18" t="str">
        <f t="shared" si="10"/>
        <v>2.886002886</v>
      </c>
      <c r="AE132" s="17" t="str">
        <f t="shared" si="6"/>
        <v>4.947433519</v>
      </c>
      <c r="AF132" s="17" t="str">
        <f t="shared" si="11"/>
        <v>0.875</v>
      </c>
      <c r="AG132" s="17" t="s">
        <v>30</v>
      </c>
      <c r="AH132" s="17" t="str">
        <f t="shared" si="68"/>
        <v>Arching</v>
      </c>
      <c r="AI132" s="17" t="str">
        <f t="shared" si="16"/>
        <v>Arching</v>
      </c>
      <c r="AJ132" s="17" t="str">
        <f t="shared" si="7"/>
        <v>Thermal Decomposition,corona </v>
      </c>
    </row>
    <row r="133" ht="12.75" customHeight="1">
      <c r="A133" s="11">
        <v>131.0</v>
      </c>
      <c r="B133" s="14">
        <v>2019454.0</v>
      </c>
      <c r="C133" s="14" t="s">
        <v>78</v>
      </c>
      <c r="D133" s="14" t="s">
        <v>173</v>
      </c>
      <c r="E133" s="14" t="s">
        <v>91</v>
      </c>
      <c r="F133" s="14">
        <v>2008.0</v>
      </c>
      <c r="G133" s="19">
        <v>8.3</v>
      </c>
      <c r="H133" s="16">
        <v>1.743</v>
      </c>
      <c r="I133" s="16">
        <v>15928.115000000002</v>
      </c>
      <c r="J133" s="16">
        <v>65784.72100000002</v>
      </c>
      <c r="K133" s="16">
        <v>57.353</v>
      </c>
      <c r="L133" s="16">
        <v>734.716</v>
      </c>
      <c r="M133" s="19">
        <v>9.0</v>
      </c>
      <c r="N133" s="19">
        <v>8.0</v>
      </c>
      <c r="O133" s="19">
        <v>8.0</v>
      </c>
      <c r="P133" s="19">
        <v>45.0</v>
      </c>
      <c r="Q133" s="17" t="str">
        <f t="shared" si="1"/>
        <v>5.625</v>
      </c>
      <c r="R133" s="17" t="str">
        <f t="shared" si="2"/>
        <v>5.163511188</v>
      </c>
      <c r="S133" s="17" t="str">
        <f t="shared" si="8"/>
        <v>1</v>
      </c>
      <c r="T133" s="17" t="s">
        <v>30</v>
      </c>
      <c r="U133" s="17" t="str">
        <f t="shared" si="123"/>
        <v>Low temperature thermal </v>
      </c>
      <c r="V133" s="17" t="s">
        <v>37</v>
      </c>
      <c r="W133" s="17" t="str">
        <f t="shared" si="3"/>
        <v>5.625</v>
      </c>
      <c r="X133" s="17" t="str">
        <f t="shared" si="33"/>
        <v>5.163511188</v>
      </c>
      <c r="Y133" s="17" t="str">
        <f t="shared" si="9"/>
        <v>1</v>
      </c>
      <c r="Z133" s="17" t="str">
        <f t="shared" si="122"/>
        <v>Discharge of Low Energy,  </v>
      </c>
      <c r="AA133" s="17" t="str">
        <f>IF(X133&lt;0.1,"Partial Discharges, ",IF(X133&gt;1,"Thermal  Fault &gt;300c and&lt;700 and &gt;700 c"))</f>
        <v>Thermal  Fault &gt;300c and&lt;700 and &gt;700 c</v>
      </c>
      <c r="AB133" s="17" t="s">
        <v>107</v>
      </c>
      <c r="AC133" s="17" t="str">
        <f t="shared" si="5"/>
        <v>5.163511188</v>
      </c>
      <c r="AD133" s="18" t="str">
        <f t="shared" si="10"/>
        <v>5.625</v>
      </c>
      <c r="AE133" s="17" t="str">
        <f t="shared" si="6"/>
        <v>5</v>
      </c>
      <c r="AF133" s="17" t="str">
        <f t="shared" si="11"/>
        <v>0.1777777778</v>
      </c>
      <c r="AG133" s="17" t="str">
        <f>IF(AC133&gt;1,"Thermal Decomposition, ",IF(AC133&lt;0.1,"Corona,Arching"))</f>
        <v>Thermal Decomposition, </v>
      </c>
      <c r="AH133" s="17" t="str">
        <f t="shared" si="68"/>
        <v>Arching</v>
      </c>
      <c r="AI133" s="17" t="str">
        <f t="shared" si="16"/>
        <v>Arching</v>
      </c>
      <c r="AJ133" s="17" t="str">
        <f t="shared" si="7"/>
        <v>Arching</v>
      </c>
    </row>
    <row r="134" ht="12.75" customHeight="1">
      <c r="A134" s="11">
        <v>132.0</v>
      </c>
      <c r="B134" s="14">
        <v>2019455.0</v>
      </c>
      <c r="C134" s="14" t="s">
        <v>78</v>
      </c>
      <c r="D134" s="14" t="s">
        <v>173</v>
      </c>
      <c r="E134" s="14" t="s">
        <v>91</v>
      </c>
      <c r="F134" s="14">
        <v>2008.0</v>
      </c>
      <c r="G134" s="19">
        <v>8.2</v>
      </c>
      <c r="H134" s="16">
        <v>2.87</v>
      </c>
      <c r="I134" s="16">
        <v>15284.225999999999</v>
      </c>
      <c r="J134" s="16">
        <v>65078.80799999999</v>
      </c>
      <c r="K134" s="16">
        <v>51.49599999999999</v>
      </c>
      <c r="L134" s="16">
        <v>654.524</v>
      </c>
      <c r="M134" s="16">
        <v>1.7219999999999995</v>
      </c>
      <c r="N134" s="19">
        <v>6.0</v>
      </c>
      <c r="O134" s="19">
        <v>9.0</v>
      </c>
      <c r="P134" s="19">
        <v>8.0</v>
      </c>
      <c r="Q134" s="17" t="str">
        <f t="shared" si="1"/>
        <v>0.8888888889</v>
      </c>
      <c r="R134" s="17" t="str">
        <f t="shared" si="2"/>
        <v>0.6</v>
      </c>
      <c r="S134" s="17" t="str">
        <f t="shared" si="8"/>
        <v>1.5</v>
      </c>
      <c r="T134" s="17" t="str">
        <f>IF(Q134&lt;1,"Partial discharge,Low Temprature thermal fault,")</f>
        <v>Partial discharge,Low Temprature thermal fault,</v>
      </c>
      <c r="U134" s="17" t="s">
        <v>31</v>
      </c>
      <c r="V134" s="17" t="s">
        <v>37</v>
      </c>
      <c r="W134" s="17" t="str">
        <f t="shared" si="3"/>
        <v>0.8888888889</v>
      </c>
      <c r="X134" s="17" t="str">
        <f t="shared" si="33"/>
        <v>0.6</v>
      </c>
      <c r="Y134" s="17" t="str">
        <f t="shared" si="9"/>
        <v>1.5</v>
      </c>
      <c r="Z134" s="17" t="s">
        <v>34</v>
      </c>
      <c r="AA134" s="17" t="s">
        <v>34</v>
      </c>
      <c r="AB134" s="17" t="str">
        <f>IF(Y134&lt;0.2,"Partial Discharges, ",IF(Y134&gt;1,"Thermal  Fault  &gt;700 c"))</f>
        <v>Thermal  Fault  &gt;700 c</v>
      </c>
      <c r="AC134" s="17" t="str">
        <f t="shared" si="5"/>
        <v>0.6</v>
      </c>
      <c r="AD134" s="18" t="str">
        <f t="shared" si="10"/>
        <v>0.8888888889</v>
      </c>
      <c r="AE134" s="17" t="str">
        <f t="shared" si="6"/>
        <v>4.645760743</v>
      </c>
      <c r="AF134" s="17" t="str">
        <f t="shared" si="11"/>
        <v>0.75</v>
      </c>
      <c r="AG134" s="17" t="s">
        <v>30</v>
      </c>
      <c r="AH134" s="17" t="str">
        <f t="shared" si="68"/>
        <v>Arching</v>
      </c>
      <c r="AI134" s="17" t="str">
        <f t="shared" si="16"/>
        <v>Arching</v>
      </c>
      <c r="AJ134" s="17" t="str">
        <f t="shared" si="7"/>
        <v>Thermal Decomposition,corona </v>
      </c>
    </row>
    <row r="135" ht="12.75" customHeight="1">
      <c r="A135" s="11">
        <v>133.0</v>
      </c>
      <c r="B135" s="14">
        <v>2019004.0</v>
      </c>
      <c r="C135" s="14" t="s">
        <v>99</v>
      </c>
      <c r="D135" s="14" t="s">
        <v>172</v>
      </c>
      <c r="E135" s="14" t="s">
        <v>91</v>
      </c>
      <c r="F135" s="14">
        <v>2007.0</v>
      </c>
      <c r="G135" s="19">
        <v>8.1</v>
      </c>
      <c r="H135" s="16">
        <v>3.6449999999999996</v>
      </c>
      <c r="I135" s="16">
        <v>14967.422999999999</v>
      </c>
      <c r="J135" s="16">
        <v>64262.808</v>
      </c>
      <c r="K135" s="16">
        <v>83.511</v>
      </c>
      <c r="L135" s="16">
        <v>974.268</v>
      </c>
      <c r="M135" s="16">
        <v>2.1870000000000003</v>
      </c>
      <c r="N135" s="16">
        <v>9.0</v>
      </c>
      <c r="O135" s="16">
        <v>7.2090000000000005</v>
      </c>
      <c r="P135" s="16">
        <v>9.0</v>
      </c>
      <c r="Q135" s="17" t="str">
        <f t="shared" si="1"/>
        <v>1.248439451</v>
      </c>
      <c r="R135" s="17" t="str">
        <f t="shared" si="2"/>
        <v>0.6</v>
      </c>
      <c r="S135" s="17" t="str">
        <f t="shared" si="8"/>
        <v>0.801</v>
      </c>
      <c r="T135" s="17" t="s">
        <v>30</v>
      </c>
      <c r="U135" s="17" t="s">
        <v>31</v>
      </c>
      <c r="V135" s="17" t="str">
        <f t="shared" ref="V135:V140" si="124">IF(S135&lt;1,"Partial discharge, Normal ",IF(S135&gt;3,"Arching,Thermal  Fault &gt; 700 c"))</f>
        <v>Partial discharge, Normal </v>
      </c>
      <c r="W135" s="17" t="str">
        <f t="shared" si="3"/>
        <v>1.248439451</v>
      </c>
      <c r="X135" s="17" t="str">
        <f t="shared" si="33"/>
        <v>0.6</v>
      </c>
      <c r="Y135" s="17" t="str">
        <f t="shared" si="9"/>
        <v>0.801</v>
      </c>
      <c r="Z135" s="17" t="str">
        <f t="shared" ref="Z135:Z139" si="125">IF(W135&gt;1,"Discharge of Low Energy,  ",IF(W135&lt;0.1,"Thermal  Fault&gt; 300c and&lt;700 c"))</f>
        <v>Discharge of Low Energy,  </v>
      </c>
      <c r="AA135" s="17" t="s">
        <v>34</v>
      </c>
      <c r="AB135" s="17" t="s">
        <v>107</v>
      </c>
      <c r="AC135" s="17" t="str">
        <f t="shared" si="5"/>
        <v>0.6</v>
      </c>
      <c r="AD135" s="18" t="str">
        <f t="shared" si="10"/>
        <v>1.248439451</v>
      </c>
      <c r="AE135" s="17" t="str">
        <f t="shared" si="6"/>
        <v>4.115226337</v>
      </c>
      <c r="AF135" s="17" t="str">
        <f t="shared" si="11"/>
        <v>1</v>
      </c>
      <c r="AG135" s="17" t="s">
        <v>30</v>
      </c>
      <c r="AH135" s="17" t="str">
        <f t="shared" si="68"/>
        <v>Arching</v>
      </c>
      <c r="AI135" s="17" t="str">
        <f t="shared" si="16"/>
        <v>Arching</v>
      </c>
      <c r="AJ135" s="17" t="str">
        <f t="shared" si="7"/>
        <v>Thermal Decomposition,corona </v>
      </c>
    </row>
    <row r="136" ht="12.75" customHeight="1">
      <c r="A136" s="11">
        <v>134.0</v>
      </c>
      <c r="B136" s="17">
        <v>6005784.0</v>
      </c>
      <c r="C136" s="22" t="s">
        <v>174</v>
      </c>
      <c r="D136" s="22" t="s">
        <v>129</v>
      </c>
      <c r="E136" s="22" t="s">
        <v>91</v>
      </c>
      <c r="F136" s="17">
        <v>1999.0</v>
      </c>
      <c r="G136" s="19">
        <v>7.9</v>
      </c>
      <c r="H136" s="16">
        <v>7.8210000000000015</v>
      </c>
      <c r="I136" s="16">
        <v>14860.216000000002</v>
      </c>
      <c r="J136" s="16">
        <v>61889.94300000001</v>
      </c>
      <c r="K136" s="16">
        <v>154.208</v>
      </c>
      <c r="L136" s="16">
        <v>1565.1480000000001</v>
      </c>
      <c r="M136" s="16">
        <v>5.2139999999999995</v>
      </c>
      <c r="N136" s="16">
        <v>1.185</v>
      </c>
      <c r="O136" s="16">
        <v>3.6340000000000003</v>
      </c>
      <c r="P136" s="16">
        <v>5.0</v>
      </c>
      <c r="Q136" s="17" t="str">
        <f t="shared" si="1"/>
        <v>1.375894331</v>
      </c>
      <c r="R136" s="17" t="str">
        <f t="shared" si="2"/>
        <v>0.6666666667</v>
      </c>
      <c r="S136" s="17" t="str">
        <f t="shared" si="8"/>
        <v>3.066666667</v>
      </c>
      <c r="T136" s="17" t="s">
        <v>30</v>
      </c>
      <c r="U136" s="17" t="s">
        <v>31</v>
      </c>
      <c r="V136" s="17" t="str">
        <f t="shared" si="124"/>
        <v>Arching,Thermal  Fault &gt; 700 c</v>
      </c>
      <c r="W136" s="17" t="str">
        <f t="shared" si="3"/>
        <v>1.375894331</v>
      </c>
      <c r="X136" s="17" t="str">
        <f t="shared" si="33"/>
        <v>0.6666666667</v>
      </c>
      <c r="Y136" s="17" t="str">
        <f t="shared" si="9"/>
        <v>3.066666667</v>
      </c>
      <c r="Z136" s="17" t="str">
        <f t="shared" si="125"/>
        <v>Discharge of Low Energy,  </v>
      </c>
      <c r="AA136" s="17" t="s">
        <v>34</v>
      </c>
      <c r="AB136" s="17" t="str">
        <f>IF(Y136&lt;0.2,"Partial Discharges, ",IF(Y136&gt;1,"Thermal  Fault  &gt;700 c"))</f>
        <v>Thermal  Fault  &gt;700 c</v>
      </c>
      <c r="AC136" s="17" t="str">
        <f t="shared" si="5"/>
        <v>0.6666666667</v>
      </c>
      <c r="AD136" s="18" t="str">
        <f t="shared" si="10"/>
        <v>1.375894331</v>
      </c>
      <c r="AE136" s="17" t="str">
        <f t="shared" si="6"/>
        <v>0.9589566552</v>
      </c>
      <c r="AF136" s="17" t="str">
        <f t="shared" si="11"/>
        <v>0.237</v>
      </c>
      <c r="AG136" s="17" t="s">
        <v>30</v>
      </c>
      <c r="AH136" s="17" t="str">
        <f t="shared" si="68"/>
        <v>Arching</v>
      </c>
      <c r="AI136" s="17" t="str">
        <f t="shared" si="16"/>
        <v>Arching</v>
      </c>
      <c r="AJ136" s="17" t="str">
        <f t="shared" si="7"/>
        <v>Arching</v>
      </c>
    </row>
    <row r="137" ht="12.75" customHeight="1">
      <c r="A137" s="11">
        <v>135.0</v>
      </c>
      <c r="B137" s="17">
        <v>6005784.0</v>
      </c>
      <c r="C137" s="22" t="s">
        <v>174</v>
      </c>
      <c r="D137" s="22" t="s">
        <v>129</v>
      </c>
      <c r="E137" s="22" t="s">
        <v>91</v>
      </c>
      <c r="F137" s="17">
        <v>1999.0</v>
      </c>
      <c r="G137" s="19">
        <v>8.1</v>
      </c>
      <c r="H137" s="16">
        <v>23.328</v>
      </c>
      <c r="I137" s="16">
        <v>14663.025</v>
      </c>
      <c r="J137" s="16">
        <v>63413.928</v>
      </c>
      <c r="K137" s="16">
        <v>162.97199999999998</v>
      </c>
      <c r="L137" s="16">
        <v>1702.782</v>
      </c>
      <c r="M137" s="16">
        <v>6.8039999999999985</v>
      </c>
      <c r="N137" s="16">
        <v>4.6979999999999995</v>
      </c>
      <c r="O137" s="16">
        <v>3.483</v>
      </c>
      <c r="P137" s="16">
        <v>6.0</v>
      </c>
      <c r="Q137" s="17" t="str">
        <f t="shared" si="1"/>
        <v>1.722652885</v>
      </c>
      <c r="R137" s="17" t="str">
        <f t="shared" si="2"/>
        <v>0.2916666667</v>
      </c>
      <c r="S137" s="17" t="str">
        <f t="shared" si="8"/>
        <v>0.7413793103</v>
      </c>
      <c r="T137" s="17" t="s">
        <v>30</v>
      </c>
      <c r="U137" s="17" t="s">
        <v>31</v>
      </c>
      <c r="V137" s="17" t="str">
        <f t="shared" si="124"/>
        <v>Partial discharge, Normal </v>
      </c>
      <c r="W137" s="17" t="str">
        <f t="shared" si="3"/>
        <v>1.722652885</v>
      </c>
      <c r="X137" s="17" t="str">
        <f t="shared" si="33"/>
        <v>0.2916666667</v>
      </c>
      <c r="Y137" s="17" t="str">
        <f t="shared" si="9"/>
        <v>0.7413793103</v>
      </c>
      <c r="Z137" s="17" t="str">
        <f t="shared" si="125"/>
        <v>Discharge of Low Energy,  </v>
      </c>
      <c r="AA137" s="17" t="s">
        <v>34</v>
      </c>
      <c r="AB137" s="17" t="s">
        <v>107</v>
      </c>
      <c r="AC137" s="17" t="str">
        <f t="shared" si="5"/>
        <v>0.2916666667</v>
      </c>
      <c r="AD137" s="18" t="str">
        <f t="shared" si="10"/>
        <v>1.722652885</v>
      </c>
      <c r="AE137" s="17" t="str">
        <f t="shared" si="6"/>
        <v>0.8818342152</v>
      </c>
      <c r="AF137" s="17" t="str">
        <f t="shared" si="11"/>
        <v>0.783</v>
      </c>
      <c r="AG137" s="17" t="s">
        <v>30</v>
      </c>
      <c r="AH137" s="17" t="str">
        <f t="shared" si="68"/>
        <v>Arching</v>
      </c>
      <c r="AI137" s="17" t="str">
        <f t="shared" si="16"/>
        <v>Arching</v>
      </c>
      <c r="AJ137" s="17" t="str">
        <f t="shared" si="7"/>
        <v>Thermal Decomposition,corona </v>
      </c>
    </row>
    <row r="138" ht="12.75" customHeight="1">
      <c r="A138" s="11">
        <v>136.0</v>
      </c>
      <c r="B138" s="17">
        <v>6005784.0</v>
      </c>
      <c r="C138" s="22" t="s">
        <v>174</v>
      </c>
      <c r="D138" s="22" t="s">
        <v>129</v>
      </c>
      <c r="E138" s="22" t="s">
        <v>91</v>
      </c>
      <c r="F138" s="17">
        <v>1999.0</v>
      </c>
      <c r="G138" s="19">
        <v>7.9</v>
      </c>
      <c r="H138" s="16">
        <v>10.586</v>
      </c>
      <c r="I138" s="16">
        <v>15856.643</v>
      </c>
      <c r="J138" s="16">
        <v>60644.82400000001</v>
      </c>
      <c r="K138" s="16">
        <v>126.321</v>
      </c>
      <c r="L138" s="16">
        <v>1406.358</v>
      </c>
      <c r="M138" s="16">
        <v>4.898000000000001</v>
      </c>
      <c r="N138" s="16">
        <v>6.2410000000000005</v>
      </c>
      <c r="O138" s="16">
        <v>3.6340000000000003</v>
      </c>
      <c r="P138" s="16">
        <v>7.0</v>
      </c>
      <c r="Q138" s="17" t="str">
        <f t="shared" si="1"/>
        <v>1.926252064</v>
      </c>
      <c r="R138" s="17" t="str">
        <f t="shared" si="2"/>
        <v>0.4626865672</v>
      </c>
      <c r="S138" s="17" t="str">
        <f t="shared" si="8"/>
        <v>0.582278481</v>
      </c>
      <c r="T138" s="17" t="s">
        <v>30</v>
      </c>
      <c r="U138" s="17" t="s">
        <v>31</v>
      </c>
      <c r="V138" s="17" t="str">
        <f t="shared" si="124"/>
        <v>Partial discharge, Normal </v>
      </c>
      <c r="W138" s="17" t="str">
        <f t="shared" si="3"/>
        <v>1.926252064</v>
      </c>
      <c r="X138" s="17" t="str">
        <f t="shared" si="33"/>
        <v>0.4626865672</v>
      </c>
      <c r="Y138" s="17" t="str">
        <f t="shared" si="9"/>
        <v>0.582278481</v>
      </c>
      <c r="Z138" s="17" t="str">
        <f t="shared" si="125"/>
        <v>Discharge of Low Energy,  </v>
      </c>
      <c r="AA138" s="17" t="s">
        <v>34</v>
      </c>
      <c r="AB138" s="17" t="s">
        <v>107</v>
      </c>
      <c r="AC138" s="17" t="str">
        <f t="shared" si="5"/>
        <v>0.4626865672</v>
      </c>
      <c r="AD138" s="18" t="str">
        <f t="shared" si="10"/>
        <v>1.926252064</v>
      </c>
      <c r="AE138" s="17" t="str">
        <f t="shared" si="6"/>
        <v>1.429154757</v>
      </c>
      <c r="AF138" s="17" t="str">
        <f t="shared" si="11"/>
        <v>0.8915714286</v>
      </c>
      <c r="AG138" s="17" t="s">
        <v>30</v>
      </c>
      <c r="AH138" s="17" t="str">
        <f t="shared" si="68"/>
        <v>Arching</v>
      </c>
      <c r="AI138" s="17" t="str">
        <f t="shared" si="16"/>
        <v>Arching</v>
      </c>
      <c r="AJ138" s="17" t="str">
        <f t="shared" si="7"/>
        <v>Thermal Decomposition,corona </v>
      </c>
    </row>
    <row r="139" ht="12.75" customHeight="1">
      <c r="A139" s="11">
        <v>137.0</v>
      </c>
      <c r="B139" s="17">
        <v>6005784.0</v>
      </c>
      <c r="C139" s="22" t="s">
        <v>174</v>
      </c>
      <c r="D139" s="22" t="s">
        <v>129</v>
      </c>
      <c r="E139" s="22" t="s">
        <v>91</v>
      </c>
      <c r="F139" s="17">
        <v>1999.0</v>
      </c>
      <c r="G139" s="19">
        <v>8.0</v>
      </c>
      <c r="H139" s="16">
        <v>12.72</v>
      </c>
      <c r="I139" s="16">
        <v>15047.04</v>
      </c>
      <c r="J139" s="16">
        <v>62522.64</v>
      </c>
      <c r="K139" s="16">
        <v>118.48</v>
      </c>
      <c r="L139" s="16">
        <v>1264.16</v>
      </c>
      <c r="M139" s="16">
        <v>4.96</v>
      </c>
      <c r="N139" s="16">
        <v>5.92</v>
      </c>
      <c r="O139" s="16">
        <v>3.2800000000000002</v>
      </c>
      <c r="P139" s="16">
        <v>7.0</v>
      </c>
      <c r="Q139" s="17" t="str">
        <f t="shared" si="1"/>
        <v>2.134146341</v>
      </c>
      <c r="R139" s="17" t="str">
        <f t="shared" si="2"/>
        <v>0.3899371069</v>
      </c>
      <c r="S139" s="17" t="str">
        <f t="shared" si="8"/>
        <v>0.5540540541</v>
      </c>
      <c r="T139" s="17" t="s">
        <v>30</v>
      </c>
      <c r="U139" s="17" t="s">
        <v>31</v>
      </c>
      <c r="V139" s="17" t="str">
        <f t="shared" si="124"/>
        <v>Partial discharge, Normal </v>
      </c>
      <c r="W139" s="17" t="str">
        <f t="shared" si="3"/>
        <v>2.134146341</v>
      </c>
      <c r="X139" s="17" t="str">
        <f t="shared" si="33"/>
        <v>0.3899371069</v>
      </c>
      <c r="Y139" s="17" t="str">
        <f t="shared" si="9"/>
        <v>0.5540540541</v>
      </c>
      <c r="Z139" s="17" t="str">
        <f t="shared" si="125"/>
        <v>Discharge of Low Energy,  </v>
      </c>
      <c r="AA139" s="17" t="s">
        <v>34</v>
      </c>
      <c r="AB139" s="17" t="s">
        <v>107</v>
      </c>
      <c r="AC139" s="17" t="str">
        <f t="shared" si="5"/>
        <v>0.3899371069</v>
      </c>
      <c r="AD139" s="18" t="str">
        <f t="shared" si="10"/>
        <v>2.134146341</v>
      </c>
      <c r="AE139" s="17" t="str">
        <f t="shared" si="6"/>
        <v>1.411290323</v>
      </c>
      <c r="AF139" s="17" t="str">
        <f t="shared" si="11"/>
        <v>0.8457142857</v>
      </c>
      <c r="AG139" s="17" t="s">
        <v>30</v>
      </c>
      <c r="AH139" s="17" t="str">
        <f t="shared" si="68"/>
        <v>Arching</v>
      </c>
      <c r="AI139" s="17" t="str">
        <f t="shared" si="16"/>
        <v>Arching</v>
      </c>
      <c r="AJ139" s="17" t="str">
        <f t="shared" si="7"/>
        <v>Thermal Decomposition,corona </v>
      </c>
    </row>
    <row r="140" ht="12.75" customHeight="1">
      <c r="A140" s="11">
        <v>138.0</v>
      </c>
      <c r="B140" s="17">
        <v>6005785.0</v>
      </c>
      <c r="C140" s="22" t="s">
        <v>174</v>
      </c>
      <c r="D140" s="22" t="s">
        <v>129</v>
      </c>
      <c r="E140" s="22" t="s">
        <v>91</v>
      </c>
      <c r="F140" s="17">
        <v>1999.0</v>
      </c>
      <c r="G140" s="19">
        <v>8.4</v>
      </c>
      <c r="H140" s="16">
        <v>5.46</v>
      </c>
      <c r="I140" s="16">
        <v>15844.164</v>
      </c>
      <c r="J140" s="16">
        <v>65701.69200000001</v>
      </c>
      <c r="K140" s="16">
        <v>162.372</v>
      </c>
      <c r="L140" s="16">
        <v>1727.1239999999998</v>
      </c>
      <c r="M140" s="16">
        <v>4.1160000000000005</v>
      </c>
      <c r="N140" s="16">
        <v>12.0</v>
      </c>
      <c r="O140" s="16">
        <v>8.0</v>
      </c>
      <c r="P140" s="16">
        <v>7.0</v>
      </c>
      <c r="Q140" s="17" t="str">
        <f t="shared" si="1"/>
        <v>0.875</v>
      </c>
      <c r="R140" s="17" t="str">
        <f t="shared" si="2"/>
        <v>0.7538461538</v>
      </c>
      <c r="S140" s="17" t="str">
        <f t="shared" si="8"/>
        <v>0.6666666667</v>
      </c>
      <c r="T140" s="17" t="str">
        <f t="shared" ref="T140:T142" si="126">IF(Q140&lt;1,"Partial discharge,Low Temprature thermal fault,")</f>
        <v>Partial discharge,Low Temprature thermal fault,</v>
      </c>
      <c r="U140" s="17" t="s">
        <v>31</v>
      </c>
      <c r="V140" s="17" t="str">
        <f t="shared" si="124"/>
        <v>Partial discharge, Normal </v>
      </c>
      <c r="W140" s="17" t="str">
        <f t="shared" si="3"/>
        <v>0.875</v>
      </c>
      <c r="X140" s="17" t="str">
        <f t="shared" si="33"/>
        <v>0.7538461538</v>
      </c>
      <c r="Y140" s="17" t="str">
        <f t="shared" si="9"/>
        <v>0.6666666667</v>
      </c>
      <c r="Z140" s="17" t="s">
        <v>34</v>
      </c>
      <c r="AA140" s="17" t="s">
        <v>34</v>
      </c>
      <c r="AB140" s="17" t="s">
        <v>107</v>
      </c>
      <c r="AC140" s="17" t="str">
        <f t="shared" si="5"/>
        <v>0.7538461538</v>
      </c>
      <c r="AD140" s="18" t="str">
        <f t="shared" si="10"/>
        <v>0.875</v>
      </c>
      <c r="AE140" s="17" t="str">
        <f t="shared" si="6"/>
        <v>1.700680272</v>
      </c>
      <c r="AF140" s="17" t="str">
        <f t="shared" si="11"/>
        <v>1.714285714</v>
      </c>
      <c r="AG140" s="17" t="s">
        <v>30</v>
      </c>
      <c r="AH140" s="17" t="str">
        <f t="shared" si="68"/>
        <v>Arching</v>
      </c>
      <c r="AI140" s="17" t="str">
        <f t="shared" si="16"/>
        <v>Arching</v>
      </c>
      <c r="AJ140" s="17" t="str">
        <f t="shared" si="7"/>
        <v>Thermal Decomposition,corona </v>
      </c>
    </row>
    <row r="141" ht="12.75" customHeight="1">
      <c r="A141" s="11">
        <v>139.0</v>
      </c>
      <c r="B141" s="17">
        <v>6005785.0</v>
      </c>
      <c r="C141" s="22" t="s">
        <v>174</v>
      </c>
      <c r="D141" s="22" t="s">
        <v>129</v>
      </c>
      <c r="E141" s="22" t="s">
        <v>91</v>
      </c>
      <c r="F141" s="17">
        <v>1999.0</v>
      </c>
      <c r="G141" s="19">
        <v>7.9</v>
      </c>
      <c r="H141" s="16">
        <v>15.484</v>
      </c>
      <c r="I141" s="16">
        <v>14720.306999999999</v>
      </c>
      <c r="J141" s="16">
        <v>61508.847</v>
      </c>
      <c r="K141" s="16">
        <v>164.794</v>
      </c>
      <c r="L141" s="16">
        <v>1734.4450000000002</v>
      </c>
      <c r="M141" s="16">
        <v>5.135</v>
      </c>
      <c r="N141" s="16">
        <v>4.0</v>
      </c>
      <c r="O141" s="16">
        <v>9.0</v>
      </c>
      <c r="P141" s="16">
        <v>8.0</v>
      </c>
      <c r="Q141" s="17" t="str">
        <f t="shared" si="1"/>
        <v>0.8888888889</v>
      </c>
      <c r="R141" s="17" t="str">
        <f t="shared" si="2"/>
        <v>0.3316326531</v>
      </c>
      <c r="S141" s="17" t="str">
        <f t="shared" si="8"/>
        <v>2.25</v>
      </c>
      <c r="T141" s="17" t="str">
        <f t="shared" si="126"/>
        <v>Partial discharge,Low Temprature thermal fault,</v>
      </c>
      <c r="U141" s="17" t="s">
        <v>31</v>
      </c>
      <c r="V141" s="17" t="s">
        <v>37</v>
      </c>
      <c r="W141" s="17" t="str">
        <f t="shared" si="3"/>
        <v>0.8888888889</v>
      </c>
      <c r="X141" s="17" t="str">
        <f t="shared" si="33"/>
        <v>0.3316326531</v>
      </c>
      <c r="Y141" s="17" t="str">
        <f t="shared" si="9"/>
        <v>2.25</v>
      </c>
      <c r="Z141" s="17" t="s">
        <v>34</v>
      </c>
      <c r="AA141" s="17" t="s">
        <v>34</v>
      </c>
      <c r="AB141" s="17" t="str">
        <f t="shared" ref="AB141:AB142" si="127">IF(Y141&lt;0.2,"Partial Discharges, ",IF(Y141&gt;1,"Thermal  Fault  &gt;700 c"))</f>
        <v>Thermal  Fault  &gt;700 c</v>
      </c>
      <c r="AC141" s="17" t="str">
        <f t="shared" si="5"/>
        <v>0.3316326531</v>
      </c>
      <c r="AD141" s="18" t="str">
        <f t="shared" si="10"/>
        <v>0.8888888889</v>
      </c>
      <c r="AE141" s="17" t="str">
        <f t="shared" si="6"/>
        <v>1.557935735</v>
      </c>
      <c r="AF141" s="17" t="str">
        <f t="shared" si="11"/>
        <v>0.5</v>
      </c>
      <c r="AG141" s="17" t="s">
        <v>30</v>
      </c>
      <c r="AH141" s="17" t="str">
        <f t="shared" si="68"/>
        <v>Arching</v>
      </c>
      <c r="AI141" s="17" t="str">
        <f t="shared" si="16"/>
        <v>Arching</v>
      </c>
      <c r="AJ141" s="17" t="str">
        <f t="shared" si="7"/>
        <v>Thermal Decomposition,corona </v>
      </c>
    </row>
    <row r="142" ht="12.75" customHeight="1">
      <c r="A142" s="11">
        <v>140.0</v>
      </c>
      <c r="B142" s="17">
        <v>6005785.0</v>
      </c>
      <c r="C142" s="22" t="s">
        <v>174</v>
      </c>
      <c r="D142" s="22" t="s">
        <v>129</v>
      </c>
      <c r="E142" s="22" t="s">
        <v>91</v>
      </c>
      <c r="F142" s="17">
        <v>1999.0</v>
      </c>
      <c r="G142" s="19">
        <v>8.2</v>
      </c>
      <c r="H142" s="16">
        <v>26.977999999999998</v>
      </c>
      <c r="I142" s="16">
        <v>15334.902</v>
      </c>
      <c r="J142" s="16">
        <v>63969.84</v>
      </c>
      <c r="K142" s="16">
        <v>116.52199999999999</v>
      </c>
      <c r="L142" s="16">
        <v>1319.1339999999998</v>
      </c>
      <c r="M142" s="16">
        <v>3.1979999999999995</v>
      </c>
      <c r="N142" s="16">
        <v>67.0</v>
      </c>
      <c r="O142" s="16">
        <v>7.0</v>
      </c>
      <c r="P142" s="16">
        <v>5.0</v>
      </c>
      <c r="Q142" s="17" t="str">
        <f t="shared" si="1"/>
        <v>0.7142857143</v>
      </c>
      <c r="R142" s="17" t="str">
        <f t="shared" si="2"/>
        <v>0.1185410334</v>
      </c>
      <c r="S142" s="17" t="str">
        <f t="shared" si="8"/>
        <v>0.1044776119</v>
      </c>
      <c r="T142" s="17" t="str">
        <f t="shared" si="126"/>
        <v>Partial discharge,Low Temprature thermal fault,</v>
      </c>
      <c r="U142" s="17" t="s">
        <v>31</v>
      </c>
      <c r="V142" s="17" t="str">
        <f t="shared" ref="V142:V144" si="128">IF(S142&lt;1,"Partial discharge, Normal ",IF(S142&gt;3,"Arching,Thermal  Fault &gt; 700 c"))</f>
        <v>Partial discharge, Normal </v>
      </c>
      <c r="W142" s="17" t="str">
        <f t="shared" si="3"/>
        <v>0.7142857143</v>
      </c>
      <c r="X142" s="17" t="str">
        <f t="shared" si="33"/>
        <v>0.1185410334</v>
      </c>
      <c r="Y142" s="17" t="str">
        <f t="shared" si="9"/>
        <v>0.1044776119</v>
      </c>
      <c r="Z142" s="17" t="s">
        <v>34</v>
      </c>
      <c r="AA142" s="17" t="s">
        <v>34</v>
      </c>
      <c r="AB142" s="17" t="str">
        <f t="shared" si="127"/>
        <v>Partial Discharges, </v>
      </c>
      <c r="AC142" s="17" t="str">
        <f t="shared" si="5"/>
        <v>0.1185410334</v>
      </c>
      <c r="AD142" s="18" t="str">
        <f t="shared" si="10"/>
        <v>0.7142857143</v>
      </c>
      <c r="AE142" s="17" t="str">
        <f t="shared" si="6"/>
        <v>1.563477173</v>
      </c>
      <c r="AF142" s="17" t="str">
        <f t="shared" si="11"/>
        <v>13.4</v>
      </c>
      <c r="AG142" s="17" t="s">
        <v>30</v>
      </c>
      <c r="AH142" s="17" t="str">
        <f t="shared" si="68"/>
        <v>Thermal Decomposition, </v>
      </c>
      <c r="AI142" s="17" t="str">
        <f t="shared" si="16"/>
        <v>Arching</v>
      </c>
      <c r="AJ142" s="17" t="str">
        <f t="shared" si="7"/>
        <v>Thermal Decomposition,corona </v>
      </c>
    </row>
    <row r="143" ht="12.75" customHeight="1">
      <c r="A143" s="11">
        <v>141.0</v>
      </c>
      <c r="B143" s="17">
        <v>6005785.0</v>
      </c>
      <c r="C143" s="22" t="s">
        <v>174</v>
      </c>
      <c r="D143" s="22" t="s">
        <v>129</v>
      </c>
      <c r="E143" s="22" t="s">
        <v>91</v>
      </c>
      <c r="F143" s="17">
        <v>1999.0</v>
      </c>
      <c r="G143" s="19">
        <v>8.5</v>
      </c>
      <c r="H143" s="16">
        <v>17.34</v>
      </c>
      <c r="I143" s="16">
        <v>16984.445</v>
      </c>
      <c r="J143" s="16">
        <v>65375.795000000006</v>
      </c>
      <c r="K143" s="16">
        <v>128.69000000000003</v>
      </c>
      <c r="L143" s="16">
        <v>1359.15</v>
      </c>
      <c r="M143" s="16">
        <v>6.375</v>
      </c>
      <c r="N143" s="16">
        <v>8.0</v>
      </c>
      <c r="O143" s="16">
        <v>5.0</v>
      </c>
      <c r="P143" s="16">
        <v>9.0</v>
      </c>
      <c r="Q143" s="17" t="str">
        <f t="shared" si="1"/>
        <v>1.8</v>
      </c>
      <c r="R143" s="17" t="str">
        <f t="shared" si="2"/>
        <v>0.3676470588</v>
      </c>
      <c r="S143" s="17" t="str">
        <f t="shared" si="8"/>
        <v>0.625</v>
      </c>
      <c r="T143" s="17" t="s">
        <v>30</v>
      </c>
      <c r="U143" s="17" t="s">
        <v>31</v>
      </c>
      <c r="V143" s="17" t="str">
        <f t="shared" si="128"/>
        <v>Partial discharge, Normal </v>
      </c>
      <c r="W143" s="17" t="str">
        <f t="shared" si="3"/>
        <v>1.8</v>
      </c>
      <c r="X143" s="17" t="str">
        <f t="shared" si="33"/>
        <v>0.3676470588</v>
      </c>
      <c r="Y143" s="17" t="str">
        <f t="shared" si="9"/>
        <v>0.625</v>
      </c>
      <c r="Z143" s="17" t="str">
        <f t="shared" ref="Z143:Z144" si="129">IF(W143&gt;1,"Discharge of Low Energy,  ",IF(W143&lt;0.1,"Thermal  Fault&gt; 300c and&lt;700 c"))</f>
        <v>Discharge of Low Energy,  </v>
      </c>
      <c r="AA143" s="17" t="s">
        <v>34</v>
      </c>
      <c r="AB143" s="17" t="s">
        <v>107</v>
      </c>
      <c r="AC143" s="17" t="str">
        <f t="shared" si="5"/>
        <v>0.3676470588</v>
      </c>
      <c r="AD143" s="18" t="str">
        <f t="shared" si="10"/>
        <v>1.8</v>
      </c>
      <c r="AE143" s="17" t="str">
        <f t="shared" si="6"/>
        <v>1.411764706</v>
      </c>
      <c r="AF143" s="17" t="str">
        <f t="shared" si="11"/>
        <v>0.8888888889</v>
      </c>
      <c r="AG143" s="17" t="s">
        <v>30</v>
      </c>
      <c r="AH143" s="17" t="str">
        <f t="shared" si="68"/>
        <v>Arching</v>
      </c>
      <c r="AI143" s="17" t="str">
        <f t="shared" si="16"/>
        <v>Arching</v>
      </c>
      <c r="AJ143" s="17" t="str">
        <f t="shared" si="7"/>
        <v>Thermal Decomposition,corona </v>
      </c>
    </row>
    <row r="144" ht="12.75" customHeight="1">
      <c r="A144" s="11">
        <v>142.0</v>
      </c>
      <c r="B144" s="22" t="s">
        <v>175</v>
      </c>
      <c r="C144" s="22" t="s">
        <v>174</v>
      </c>
      <c r="D144" s="22" t="s">
        <v>129</v>
      </c>
      <c r="E144" s="22" t="s">
        <v>138</v>
      </c>
      <c r="F144" s="17">
        <v>1999.0</v>
      </c>
      <c r="G144" s="19">
        <v>7.9</v>
      </c>
      <c r="H144" s="16">
        <v>5.925</v>
      </c>
      <c r="I144" s="16">
        <v>14321.041</v>
      </c>
      <c r="J144" s="16">
        <v>62576.611000000004</v>
      </c>
      <c r="K144" s="16">
        <v>133.19400000000002</v>
      </c>
      <c r="L144" s="16">
        <v>1426.108</v>
      </c>
      <c r="M144" s="16">
        <v>3.081</v>
      </c>
      <c r="N144" s="16">
        <v>9.0</v>
      </c>
      <c r="O144" s="16">
        <v>4.0</v>
      </c>
      <c r="P144" s="16">
        <v>7.0</v>
      </c>
      <c r="Q144" s="17" t="str">
        <f t="shared" si="1"/>
        <v>1.75</v>
      </c>
      <c r="R144" s="17" t="str">
        <f t="shared" si="2"/>
        <v>0.52</v>
      </c>
      <c r="S144" s="17" t="str">
        <f t="shared" si="8"/>
        <v>0.4444444444</v>
      </c>
      <c r="T144" s="17" t="s">
        <v>30</v>
      </c>
      <c r="U144" s="17" t="s">
        <v>31</v>
      </c>
      <c r="V144" s="17" t="str">
        <f t="shared" si="128"/>
        <v>Partial discharge, Normal </v>
      </c>
      <c r="W144" s="17" t="str">
        <f t="shared" si="3"/>
        <v>1.75</v>
      </c>
      <c r="X144" s="17" t="str">
        <f t="shared" si="33"/>
        <v>0.52</v>
      </c>
      <c r="Y144" s="17" t="str">
        <f t="shared" si="9"/>
        <v>0.4444444444</v>
      </c>
      <c r="Z144" s="17" t="str">
        <f t="shared" si="129"/>
        <v>Discharge of Low Energy,  </v>
      </c>
      <c r="AA144" s="17" t="s">
        <v>34</v>
      </c>
      <c r="AB144" s="17" t="s">
        <v>107</v>
      </c>
      <c r="AC144" s="17" t="str">
        <f t="shared" si="5"/>
        <v>0.52</v>
      </c>
      <c r="AD144" s="18" t="str">
        <f t="shared" si="10"/>
        <v>1.75</v>
      </c>
      <c r="AE144" s="17" t="str">
        <f t="shared" si="6"/>
        <v>2.271989614</v>
      </c>
      <c r="AF144" s="17" t="str">
        <f t="shared" si="11"/>
        <v>1.285714286</v>
      </c>
      <c r="AG144" s="17" t="s">
        <v>30</v>
      </c>
      <c r="AH144" s="17" t="str">
        <f t="shared" si="68"/>
        <v>Arching</v>
      </c>
      <c r="AI144" s="17" t="str">
        <f t="shared" si="16"/>
        <v>Arching</v>
      </c>
      <c r="AJ144" s="17" t="str">
        <f t="shared" si="7"/>
        <v>Thermal Decomposition,corona </v>
      </c>
    </row>
    <row r="145" ht="12.75" customHeight="1">
      <c r="A145" s="11">
        <v>143.0</v>
      </c>
      <c r="B145" s="22" t="s">
        <v>175</v>
      </c>
      <c r="C145" s="22" t="s">
        <v>174</v>
      </c>
      <c r="D145" s="22" t="s">
        <v>129</v>
      </c>
      <c r="E145" s="22" t="s">
        <v>138</v>
      </c>
      <c r="F145" s="17">
        <v>1999.0</v>
      </c>
      <c r="G145" s="19">
        <v>8.3</v>
      </c>
      <c r="H145" s="16">
        <v>17.264000000000003</v>
      </c>
      <c r="I145" s="16">
        <v>15936.082999999999</v>
      </c>
      <c r="J145" s="16">
        <v>64897.284999999996</v>
      </c>
      <c r="K145" s="16">
        <v>107.65100000000001</v>
      </c>
      <c r="L145" s="16">
        <v>1124.982</v>
      </c>
      <c r="M145" s="16">
        <v>5.063000000000001</v>
      </c>
      <c r="N145" s="16">
        <v>8.0</v>
      </c>
      <c r="O145" s="16">
        <v>8.0</v>
      </c>
      <c r="P145" s="16">
        <v>4.0</v>
      </c>
      <c r="Q145" s="17" t="str">
        <f t="shared" si="1"/>
        <v>0.5</v>
      </c>
      <c r="R145" s="17" t="str">
        <f t="shared" si="2"/>
        <v>0.2932692308</v>
      </c>
      <c r="S145" s="17" t="str">
        <f t="shared" si="8"/>
        <v>1</v>
      </c>
      <c r="T145" s="17" t="str">
        <f t="shared" ref="T145:T146" si="130">IF(Q145&lt;1,"Partial discharge,Low Temprature thermal fault,")</f>
        <v>Partial discharge,Low Temprature thermal fault,</v>
      </c>
      <c r="U145" s="17" t="s">
        <v>31</v>
      </c>
      <c r="V145" s="17" t="s">
        <v>37</v>
      </c>
      <c r="W145" s="17" t="str">
        <f t="shared" si="3"/>
        <v>0.5</v>
      </c>
      <c r="X145" s="17" t="str">
        <f t="shared" si="33"/>
        <v>0.2932692308</v>
      </c>
      <c r="Y145" s="17" t="str">
        <f t="shared" si="9"/>
        <v>1</v>
      </c>
      <c r="Z145" s="17" t="s">
        <v>34</v>
      </c>
      <c r="AA145" s="17" t="s">
        <v>34</v>
      </c>
      <c r="AB145" s="17" t="s">
        <v>107</v>
      </c>
      <c r="AC145" s="17" t="str">
        <f t="shared" si="5"/>
        <v>0.2932692308</v>
      </c>
      <c r="AD145" s="18" t="str">
        <f t="shared" si="10"/>
        <v>0.5</v>
      </c>
      <c r="AE145" s="17" t="str">
        <f t="shared" si="6"/>
        <v>0.7900454276</v>
      </c>
      <c r="AF145" s="17" t="str">
        <f t="shared" si="11"/>
        <v>2</v>
      </c>
      <c r="AG145" s="17" t="s">
        <v>30</v>
      </c>
      <c r="AH145" s="17" t="str">
        <f t="shared" si="68"/>
        <v>Thermal Decomposition, </v>
      </c>
      <c r="AI145" s="17" t="str">
        <f t="shared" si="16"/>
        <v>Arching</v>
      </c>
      <c r="AJ145" s="17" t="str">
        <f t="shared" si="7"/>
        <v>Thermal Decomposition,corona </v>
      </c>
    </row>
    <row r="146" ht="12.75" customHeight="1">
      <c r="A146" s="11">
        <v>144.0</v>
      </c>
      <c r="B146" s="22" t="s">
        <v>175</v>
      </c>
      <c r="C146" s="22" t="s">
        <v>174</v>
      </c>
      <c r="D146" s="22" t="s">
        <v>129</v>
      </c>
      <c r="E146" s="22" t="s">
        <v>138</v>
      </c>
      <c r="F146" s="17">
        <v>1999.0</v>
      </c>
      <c r="G146" s="19">
        <v>8.1</v>
      </c>
      <c r="H146" s="16">
        <v>13.364999999999998</v>
      </c>
      <c r="I146" s="16">
        <v>16511.688</v>
      </c>
      <c r="J146" s="16">
        <v>62451.567</v>
      </c>
      <c r="K146" s="16">
        <v>111.699</v>
      </c>
      <c r="L146" s="16">
        <v>1364.931</v>
      </c>
      <c r="M146" s="16">
        <v>6.399000000000001</v>
      </c>
      <c r="N146" s="16">
        <v>9.0</v>
      </c>
      <c r="O146" s="16">
        <v>6.0</v>
      </c>
      <c r="P146" s="16">
        <v>3.0</v>
      </c>
      <c r="Q146" s="17" t="str">
        <f t="shared" si="1"/>
        <v>0.5</v>
      </c>
      <c r="R146" s="17" t="str">
        <f t="shared" si="2"/>
        <v>0.4787878788</v>
      </c>
      <c r="S146" s="17" t="str">
        <f t="shared" si="8"/>
        <v>0.6666666667</v>
      </c>
      <c r="T146" s="17" t="str">
        <f t="shared" si="130"/>
        <v>Partial discharge,Low Temprature thermal fault,</v>
      </c>
      <c r="U146" s="17" t="s">
        <v>31</v>
      </c>
      <c r="V146" s="17" t="str">
        <f t="shared" ref="V146:V148" si="131">IF(S146&lt;1,"Partial discharge, Normal ",IF(S146&gt;3,"Arching,Thermal  Fault &gt; 700 c"))</f>
        <v>Partial discharge, Normal </v>
      </c>
      <c r="W146" s="17" t="str">
        <f t="shared" si="3"/>
        <v>0.5</v>
      </c>
      <c r="X146" s="17" t="str">
        <f t="shared" si="33"/>
        <v>0.4787878788</v>
      </c>
      <c r="Y146" s="17" t="str">
        <f t="shared" si="9"/>
        <v>0.6666666667</v>
      </c>
      <c r="Z146" s="17" t="s">
        <v>34</v>
      </c>
      <c r="AA146" s="17" t="s">
        <v>34</v>
      </c>
      <c r="AB146" s="17" t="s">
        <v>107</v>
      </c>
      <c r="AC146" s="17" t="str">
        <f t="shared" si="5"/>
        <v>0.4787878788</v>
      </c>
      <c r="AD146" s="18" t="str">
        <f t="shared" si="10"/>
        <v>0.5</v>
      </c>
      <c r="AE146" s="17" t="str">
        <f t="shared" si="6"/>
        <v>0.4688232536</v>
      </c>
      <c r="AF146" s="17" t="str">
        <f t="shared" si="11"/>
        <v>3</v>
      </c>
      <c r="AG146" s="17" t="s">
        <v>30</v>
      </c>
      <c r="AH146" s="17" t="str">
        <f t="shared" si="68"/>
        <v>Thermal Decomposition, </v>
      </c>
      <c r="AI146" s="17" t="str">
        <f t="shared" si="16"/>
        <v>Arching</v>
      </c>
      <c r="AJ146" s="17" t="str">
        <f t="shared" si="7"/>
        <v>Thermal Decomposition,corona </v>
      </c>
    </row>
    <row r="147" ht="12.75" customHeight="1">
      <c r="A147" s="11">
        <v>145.0</v>
      </c>
      <c r="B147" s="22" t="s">
        <v>175</v>
      </c>
      <c r="C147" s="22" t="s">
        <v>174</v>
      </c>
      <c r="D147" s="22" t="s">
        <v>129</v>
      </c>
      <c r="E147" s="22" t="s">
        <v>138</v>
      </c>
      <c r="F147" s="17">
        <v>1999.0</v>
      </c>
      <c r="G147" s="19">
        <v>8.3</v>
      </c>
      <c r="H147" s="16">
        <v>7.553000000000002</v>
      </c>
      <c r="I147" s="16">
        <v>17032.762000000002</v>
      </c>
      <c r="J147" s="16">
        <v>63263.43000000001</v>
      </c>
      <c r="K147" s="16">
        <v>141.598</v>
      </c>
      <c r="L147" s="16">
        <v>1648.131</v>
      </c>
      <c r="M147" s="16">
        <v>2.9050000000000002</v>
      </c>
      <c r="N147" s="16">
        <v>6.0</v>
      </c>
      <c r="O147" s="16">
        <v>4.0</v>
      </c>
      <c r="P147" s="16">
        <v>8.0</v>
      </c>
      <c r="Q147" s="17" t="str">
        <f t="shared" si="1"/>
        <v>2</v>
      </c>
      <c r="R147" s="17" t="str">
        <f t="shared" si="2"/>
        <v>0.3846153846</v>
      </c>
      <c r="S147" s="17" t="str">
        <f t="shared" si="8"/>
        <v>0.6666666667</v>
      </c>
      <c r="T147" s="17" t="s">
        <v>30</v>
      </c>
      <c r="U147" s="17" t="s">
        <v>31</v>
      </c>
      <c r="V147" s="17" t="str">
        <f t="shared" si="131"/>
        <v>Partial discharge, Normal </v>
      </c>
      <c r="W147" s="17" t="str">
        <f t="shared" si="3"/>
        <v>2</v>
      </c>
      <c r="X147" s="17" t="str">
        <f t="shared" si="33"/>
        <v>0.3846153846</v>
      </c>
      <c r="Y147" s="17" t="str">
        <f t="shared" si="9"/>
        <v>0.6666666667</v>
      </c>
      <c r="Z147" s="17" t="str">
        <f t="shared" ref="Z147:Z148" si="132">IF(W147&gt;1,"Discharge of Low Energy,  ",IF(W147&lt;0.1,"Thermal  Fault&gt; 300c and&lt;700 c"))</f>
        <v>Discharge of Low Energy,  </v>
      </c>
      <c r="AA147" s="17" t="s">
        <v>34</v>
      </c>
      <c r="AB147" s="17" t="s">
        <v>107</v>
      </c>
      <c r="AC147" s="17" t="str">
        <f t="shared" si="5"/>
        <v>0.3846153846</v>
      </c>
      <c r="AD147" s="18" t="str">
        <f t="shared" si="10"/>
        <v>2</v>
      </c>
      <c r="AE147" s="17" t="str">
        <f t="shared" si="6"/>
        <v>2.753872633</v>
      </c>
      <c r="AF147" s="17" t="str">
        <f t="shared" si="11"/>
        <v>0.75</v>
      </c>
      <c r="AG147" s="17" t="s">
        <v>30</v>
      </c>
      <c r="AH147" s="17" t="str">
        <f t="shared" si="68"/>
        <v>Arching</v>
      </c>
      <c r="AI147" s="17" t="str">
        <f t="shared" si="16"/>
        <v>Arching</v>
      </c>
      <c r="AJ147" s="17" t="str">
        <f t="shared" si="7"/>
        <v>Thermal Decomposition,corona </v>
      </c>
    </row>
    <row r="148" ht="12.75" customHeight="1">
      <c r="A148" s="11">
        <v>146.0</v>
      </c>
      <c r="B148" s="22" t="s">
        <v>176</v>
      </c>
      <c r="C148" s="22" t="s">
        <v>174</v>
      </c>
      <c r="D148" s="22" t="s">
        <v>129</v>
      </c>
      <c r="E148" s="22" t="s">
        <v>138</v>
      </c>
      <c r="F148" s="17">
        <v>1999.0</v>
      </c>
      <c r="G148" s="19">
        <v>8.2</v>
      </c>
      <c r="H148" s="16">
        <v>7.297999999999999</v>
      </c>
      <c r="I148" s="16">
        <v>14403.382</v>
      </c>
      <c r="J148" s="16">
        <v>64648.471999999994</v>
      </c>
      <c r="K148" s="16">
        <v>165.80399999999997</v>
      </c>
      <c r="L148" s="16">
        <v>1724.4600000000003</v>
      </c>
      <c r="M148" s="16">
        <v>4.837999999999999</v>
      </c>
      <c r="N148" s="16">
        <v>8.0</v>
      </c>
      <c r="O148" s="16">
        <v>4.0</v>
      </c>
      <c r="P148" s="16">
        <v>6.0</v>
      </c>
      <c r="Q148" s="17" t="str">
        <f t="shared" si="1"/>
        <v>1.5</v>
      </c>
      <c r="R148" s="17" t="str">
        <f t="shared" si="2"/>
        <v>0.6629213483</v>
      </c>
      <c r="S148" s="17" t="str">
        <f t="shared" si="8"/>
        <v>0.5</v>
      </c>
      <c r="T148" s="17" t="s">
        <v>30</v>
      </c>
      <c r="U148" s="17" t="s">
        <v>31</v>
      </c>
      <c r="V148" s="17" t="str">
        <f t="shared" si="131"/>
        <v>Partial discharge, Normal </v>
      </c>
      <c r="W148" s="17" t="str">
        <f t="shared" si="3"/>
        <v>1.5</v>
      </c>
      <c r="X148" s="17" t="str">
        <f t="shared" si="33"/>
        <v>0.6629213483</v>
      </c>
      <c r="Y148" s="17" t="str">
        <f t="shared" si="9"/>
        <v>0.5</v>
      </c>
      <c r="Z148" s="17" t="str">
        <f t="shared" si="132"/>
        <v>Discharge of Low Energy,  </v>
      </c>
      <c r="AA148" s="17" t="s">
        <v>34</v>
      </c>
      <c r="AB148" s="17" t="s">
        <v>107</v>
      </c>
      <c r="AC148" s="17" t="str">
        <f t="shared" si="5"/>
        <v>0.6629213483</v>
      </c>
      <c r="AD148" s="18" t="str">
        <f t="shared" si="10"/>
        <v>1.5</v>
      </c>
      <c r="AE148" s="17" t="str">
        <f t="shared" si="6"/>
        <v>1.240181893</v>
      </c>
      <c r="AF148" s="17" t="str">
        <f t="shared" si="11"/>
        <v>1.333333333</v>
      </c>
      <c r="AG148" s="17" t="s">
        <v>30</v>
      </c>
      <c r="AH148" s="17" t="str">
        <f t="shared" si="68"/>
        <v>Arching</v>
      </c>
      <c r="AI148" s="17" t="str">
        <f t="shared" si="16"/>
        <v>Arching</v>
      </c>
      <c r="AJ148" s="17" t="str">
        <f t="shared" si="7"/>
        <v>Thermal Decomposition,corona </v>
      </c>
    </row>
    <row r="149" ht="12.75" customHeight="1">
      <c r="A149" s="11">
        <v>147.0</v>
      </c>
      <c r="B149" s="22" t="s">
        <v>176</v>
      </c>
      <c r="C149" s="22" t="s">
        <v>174</v>
      </c>
      <c r="D149" s="22" t="s">
        <v>129</v>
      </c>
      <c r="E149" s="22" t="s">
        <v>138</v>
      </c>
      <c r="F149" s="17">
        <v>1999.0</v>
      </c>
      <c r="G149" s="19">
        <v>7.8</v>
      </c>
      <c r="H149" s="16">
        <v>4.836</v>
      </c>
      <c r="I149" s="16">
        <v>14480.778</v>
      </c>
      <c r="J149" s="16">
        <v>61363.536</v>
      </c>
      <c r="K149" s="16">
        <v>142.584</v>
      </c>
      <c r="L149" s="16">
        <v>1502.5919999999999</v>
      </c>
      <c r="M149" s="16">
        <v>5.0</v>
      </c>
      <c r="N149" s="23">
        <v>6.0</v>
      </c>
      <c r="O149" s="16">
        <v>8.0</v>
      </c>
      <c r="P149" s="19">
        <v>8.0</v>
      </c>
      <c r="Q149" s="17" t="str">
        <f t="shared" si="1"/>
        <v>1</v>
      </c>
      <c r="R149" s="17" t="str">
        <f t="shared" si="2"/>
        <v>1.033912324</v>
      </c>
      <c r="S149" s="17" t="str">
        <f t="shared" si="8"/>
        <v>1.333333333</v>
      </c>
      <c r="T149" s="17" t="s">
        <v>30</v>
      </c>
      <c r="U149" s="17" t="str">
        <f>IF(R149&gt;1,"Thermal Fault &lt;700c, thermal fault &gt;700c ")</f>
        <v>Thermal Fault &lt;700c, thermal fault &gt;700c </v>
      </c>
      <c r="V149" s="17" t="s">
        <v>37</v>
      </c>
      <c r="W149" s="17" t="str">
        <f t="shared" si="3"/>
        <v>1</v>
      </c>
      <c r="X149" s="17" t="str">
        <f t="shared" si="33"/>
        <v>1.033912324</v>
      </c>
      <c r="Y149" s="17" t="str">
        <f t="shared" si="9"/>
        <v>1.333333333</v>
      </c>
      <c r="Z149" s="17" t="s">
        <v>34</v>
      </c>
      <c r="AA149" s="17" t="str">
        <f>IF(X149&lt;0.1,"Partial Discharges, ",IF(X149&gt;1,"Thermal  Fault &gt;300c and&lt;700 and &gt;700 c"))</f>
        <v>Thermal  Fault &gt;300c and&lt;700 and &gt;700 c</v>
      </c>
      <c r="AB149" s="17" t="str">
        <f>IF(Y149&lt;0.2,"Partial Discharges, ",IF(Y149&gt;1,"Thermal  Fault  &gt;700 c"))</f>
        <v>Thermal  Fault  &gt;700 c</v>
      </c>
      <c r="AC149" s="17" t="str">
        <f t="shared" si="5"/>
        <v>1.033912324</v>
      </c>
      <c r="AD149" s="18" t="str">
        <f t="shared" si="10"/>
        <v>1</v>
      </c>
      <c r="AE149" s="17" t="str">
        <f t="shared" si="6"/>
        <v>1.6</v>
      </c>
      <c r="AF149" s="17" t="str">
        <f t="shared" si="11"/>
        <v>0.75</v>
      </c>
      <c r="AG149" s="17" t="str">
        <f>IF(AC149&gt;1,"Thermal Decomposition, ",IF(AC149&lt;0.1,"Corona,Arching"))</f>
        <v>Thermal Decomposition, </v>
      </c>
      <c r="AH149" s="17" t="str">
        <f t="shared" si="68"/>
        <v>Arching</v>
      </c>
      <c r="AI149" s="17" t="str">
        <f t="shared" si="16"/>
        <v>Arching</v>
      </c>
      <c r="AJ149" s="17" t="str">
        <f t="shared" si="7"/>
        <v>Thermal Decomposition,corona </v>
      </c>
    </row>
    <row r="150" ht="12.75" customHeight="1">
      <c r="A150" s="11">
        <v>148.0</v>
      </c>
      <c r="B150" s="22" t="s">
        <v>176</v>
      </c>
      <c r="C150" s="22" t="s">
        <v>174</v>
      </c>
      <c r="D150" s="22" t="s">
        <v>129</v>
      </c>
      <c r="E150" s="22" t="s">
        <v>138</v>
      </c>
      <c r="F150" s="17">
        <v>1999.0</v>
      </c>
      <c r="G150" s="19">
        <v>8.2</v>
      </c>
      <c r="H150" s="16">
        <v>16.81</v>
      </c>
      <c r="I150" s="16">
        <v>17073.711999999996</v>
      </c>
      <c r="J150" s="16">
        <v>62559.03</v>
      </c>
      <c r="K150" s="16">
        <v>152.19199999999998</v>
      </c>
      <c r="L150" s="16">
        <v>1617.6139999999996</v>
      </c>
      <c r="M150" s="16">
        <v>5.084</v>
      </c>
      <c r="N150" s="23">
        <v>5.0</v>
      </c>
      <c r="O150" s="16">
        <v>4.1819999999999995</v>
      </c>
      <c r="P150" s="19">
        <v>9.0</v>
      </c>
      <c r="Q150" s="17" t="str">
        <f t="shared" si="1"/>
        <v>2.152080344</v>
      </c>
      <c r="R150" s="17" t="str">
        <f t="shared" si="2"/>
        <v>0.3024390244</v>
      </c>
      <c r="S150" s="17" t="str">
        <f t="shared" si="8"/>
        <v>0.8364</v>
      </c>
      <c r="T150" s="17" t="s">
        <v>30</v>
      </c>
      <c r="U150" s="17" t="s">
        <v>31</v>
      </c>
      <c r="V150" s="17" t="str">
        <f t="shared" ref="V150:V151" si="133">IF(S150&lt;1,"Partial discharge, Normal ",IF(S150&gt;3,"Arching,Thermal  Fault &gt; 700 c"))</f>
        <v>Partial discharge, Normal </v>
      </c>
      <c r="W150" s="17" t="str">
        <f t="shared" si="3"/>
        <v>2.152080344</v>
      </c>
      <c r="X150" s="17" t="str">
        <f t="shared" si="33"/>
        <v>0.3024390244</v>
      </c>
      <c r="Y150" s="17" t="str">
        <f t="shared" si="9"/>
        <v>0.8364</v>
      </c>
      <c r="Z150" s="17" t="str">
        <f t="shared" ref="Z150:Z157" si="134">IF(W150&gt;1,"Discharge of Low Energy,  ",IF(W150&lt;0.1,"Thermal  Fault&gt; 300c and&lt;700 c"))</f>
        <v>Discharge of Low Energy,  </v>
      </c>
      <c r="AA150" s="17" t="s">
        <v>34</v>
      </c>
      <c r="AB150" s="17" t="s">
        <v>107</v>
      </c>
      <c r="AC150" s="17" t="str">
        <f t="shared" si="5"/>
        <v>0.3024390244</v>
      </c>
      <c r="AD150" s="18" t="str">
        <f t="shared" si="10"/>
        <v>2.152080344</v>
      </c>
      <c r="AE150" s="17" t="str">
        <f t="shared" si="6"/>
        <v>1.770259638</v>
      </c>
      <c r="AF150" s="17" t="str">
        <f t="shared" si="11"/>
        <v>0.5555555556</v>
      </c>
      <c r="AG150" s="17" t="s">
        <v>30</v>
      </c>
      <c r="AH150" s="17" t="str">
        <f t="shared" si="68"/>
        <v>Arching</v>
      </c>
      <c r="AI150" s="17" t="str">
        <f t="shared" si="16"/>
        <v>Arching</v>
      </c>
      <c r="AJ150" s="17" t="str">
        <f t="shared" si="7"/>
        <v>Thermal Decomposition,corona </v>
      </c>
    </row>
    <row r="151" ht="12.75" customHeight="1">
      <c r="A151" s="11">
        <v>149.0</v>
      </c>
      <c r="B151" s="22" t="s">
        <v>176</v>
      </c>
      <c r="C151" s="22" t="s">
        <v>174</v>
      </c>
      <c r="D151" s="22" t="s">
        <v>129</v>
      </c>
      <c r="E151" s="22" t="s">
        <v>138</v>
      </c>
      <c r="F151" s="17">
        <v>1999.0</v>
      </c>
      <c r="G151" s="19">
        <v>7.9</v>
      </c>
      <c r="H151" s="16">
        <v>15.247000000000002</v>
      </c>
      <c r="I151" s="16">
        <v>16330.405999999999</v>
      </c>
      <c r="J151" s="16">
        <v>60114.33899999999</v>
      </c>
      <c r="K151" s="16">
        <v>177.27599999999998</v>
      </c>
      <c r="L151" s="16">
        <v>1726.229</v>
      </c>
      <c r="M151" s="16">
        <v>3.081</v>
      </c>
      <c r="N151" s="23">
        <v>5.0</v>
      </c>
      <c r="O151" s="16">
        <v>2.291</v>
      </c>
      <c r="P151" s="19">
        <v>6.0</v>
      </c>
      <c r="Q151" s="17" t="str">
        <f t="shared" si="1"/>
        <v>2.618943693</v>
      </c>
      <c r="R151" s="17" t="str">
        <f t="shared" si="2"/>
        <v>0.2020725389</v>
      </c>
      <c r="S151" s="17" t="str">
        <f t="shared" si="8"/>
        <v>0.4582</v>
      </c>
      <c r="T151" s="17" t="s">
        <v>30</v>
      </c>
      <c r="U151" s="17" t="s">
        <v>31</v>
      </c>
      <c r="V151" s="17" t="str">
        <f t="shared" si="133"/>
        <v>Partial discharge, Normal </v>
      </c>
      <c r="W151" s="17" t="str">
        <f t="shared" si="3"/>
        <v>2.618943693</v>
      </c>
      <c r="X151" s="17" t="str">
        <f t="shared" si="33"/>
        <v>0.2020725389</v>
      </c>
      <c r="Y151" s="17" t="str">
        <f t="shared" si="9"/>
        <v>0.4582</v>
      </c>
      <c r="Z151" s="17" t="str">
        <f t="shared" si="134"/>
        <v>Discharge of Low Energy,  </v>
      </c>
      <c r="AA151" s="17" t="s">
        <v>34</v>
      </c>
      <c r="AB151" s="17" t="s">
        <v>107</v>
      </c>
      <c r="AC151" s="17" t="str">
        <f t="shared" si="5"/>
        <v>0.2020725389</v>
      </c>
      <c r="AD151" s="18" t="str">
        <f t="shared" si="10"/>
        <v>2.618943693</v>
      </c>
      <c r="AE151" s="17" t="str">
        <f t="shared" si="6"/>
        <v>1.947419669</v>
      </c>
      <c r="AF151" s="17" t="str">
        <f t="shared" si="11"/>
        <v>0.8333333333</v>
      </c>
      <c r="AG151" s="17" t="s">
        <v>30</v>
      </c>
      <c r="AH151" s="17" t="str">
        <f t="shared" si="68"/>
        <v>Arching</v>
      </c>
      <c r="AI151" s="17" t="str">
        <f t="shared" si="16"/>
        <v>Arching</v>
      </c>
      <c r="AJ151" s="17" t="str">
        <f t="shared" si="7"/>
        <v>Thermal Decomposition,corona </v>
      </c>
    </row>
    <row r="152" ht="12.75" customHeight="1">
      <c r="A152" s="11">
        <v>150.0</v>
      </c>
      <c r="B152" s="22" t="s">
        <v>177</v>
      </c>
      <c r="C152" s="22" t="s">
        <v>78</v>
      </c>
      <c r="D152" s="22" t="s">
        <v>178</v>
      </c>
      <c r="E152" s="22" t="s">
        <v>179</v>
      </c>
      <c r="F152" s="17">
        <v>2001.0</v>
      </c>
      <c r="G152" s="19">
        <v>7.9</v>
      </c>
      <c r="H152" s="16">
        <v>5.4510000000000005</v>
      </c>
      <c r="I152" s="16">
        <v>15377.350000000002</v>
      </c>
      <c r="J152" s="16">
        <v>60835.451</v>
      </c>
      <c r="K152" s="16">
        <v>191.65400000000002</v>
      </c>
      <c r="L152" s="16">
        <v>2103.612</v>
      </c>
      <c r="M152" s="16">
        <v>7.8210000000000015</v>
      </c>
      <c r="N152" s="16">
        <v>2.686</v>
      </c>
      <c r="O152" s="16">
        <v>4.0</v>
      </c>
      <c r="P152" s="16">
        <v>8.0</v>
      </c>
      <c r="Q152" s="17" t="str">
        <f t="shared" si="1"/>
        <v>2</v>
      </c>
      <c r="R152" s="17" t="str">
        <f t="shared" si="2"/>
        <v>1.434782609</v>
      </c>
      <c r="S152" s="17" t="str">
        <f t="shared" si="8"/>
        <v>1.489203276</v>
      </c>
      <c r="T152" s="17" t="s">
        <v>30</v>
      </c>
      <c r="U152" s="17" t="str">
        <f t="shared" ref="U152:U154" si="135">IF(R152&gt;1,"Thermal Fault &lt;700c, thermal fault &gt;700c ")</f>
        <v>Thermal Fault &lt;700c, thermal fault &gt;700c </v>
      </c>
      <c r="V152" s="17" t="s">
        <v>37</v>
      </c>
      <c r="W152" s="17" t="str">
        <f t="shared" si="3"/>
        <v>2</v>
      </c>
      <c r="X152" s="17" t="str">
        <f t="shared" si="33"/>
        <v>1.434782609</v>
      </c>
      <c r="Y152" s="17" t="str">
        <f t="shared" si="9"/>
        <v>1.489203276</v>
      </c>
      <c r="Z152" s="17" t="str">
        <f t="shared" si="134"/>
        <v>Discharge of Low Energy,  </v>
      </c>
      <c r="AA152" s="17" t="str">
        <f t="shared" ref="AA152:AA154" si="136">IF(X152&lt;0.1,"Partial Discharges, ",IF(X152&gt;1,"Thermal  Fault &gt;300c and&lt;700 and &gt;700 c"))</f>
        <v>Thermal  Fault &gt;300c and&lt;700 and &gt;700 c</v>
      </c>
      <c r="AB152" s="17" t="str">
        <f t="shared" ref="AB152:AB156" si="137">IF(Y152&lt;0.2,"Partial Discharges, ",IF(Y152&gt;1,"Thermal  Fault  &gt;700 c"))</f>
        <v>Thermal  Fault  &gt;700 c</v>
      </c>
      <c r="AC152" s="17" t="str">
        <f t="shared" si="5"/>
        <v>1.434782609</v>
      </c>
      <c r="AD152" s="18" t="str">
        <f t="shared" si="10"/>
        <v>2</v>
      </c>
      <c r="AE152" s="17" t="str">
        <f t="shared" si="6"/>
        <v>1.022887099</v>
      </c>
      <c r="AF152" s="17" t="str">
        <f t="shared" si="11"/>
        <v>0.33575</v>
      </c>
      <c r="AG152" s="17" t="str">
        <f t="shared" ref="AG152:AG154" si="138">IF(AC152&gt;1,"Thermal Decomposition, ",IF(AC152&lt;0.1,"Corona,Arching"))</f>
        <v>Thermal Decomposition, </v>
      </c>
      <c r="AH152" s="17" t="str">
        <f t="shared" si="68"/>
        <v>Arching</v>
      </c>
      <c r="AI152" s="17" t="str">
        <f t="shared" si="16"/>
        <v>Arching</v>
      </c>
      <c r="AJ152" s="17" t="str">
        <f t="shared" si="7"/>
        <v>Arching</v>
      </c>
    </row>
    <row r="153" ht="12.75" customHeight="1">
      <c r="A153" s="11">
        <v>151.0</v>
      </c>
      <c r="B153" s="22" t="s">
        <v>180</v>
      </c>
      <c r="C153" s="22" t="s">
        <v>78</v>
      </c>
      <c r="D153" s="22" t="s">
        <v>178</v>
      </c>
      <c r="E153" s="22" t="s">
        <v>138</v>
      </c>
      <c r="F153" s="17">
        <v>2001.0</v>
      </c>
      <c r="G153" s="19">
        <v>7.8</v>
      </c>
      <c r="H153" s="16">
        <v>6.864000000000001</v>
      </c>
      <c r="I153" s="16">
        <v>15875.34</v>
      </c>
      <c r="J153" s="16">
        <v>59400.509999999995</v>
      </c>
      <c r="K153" s="16">
        <v>163.566</v>
      </c>
      <c r="L153" s="16">
        <v>1740.258</v>
      </c>
      <c r="M153" s="16">
        <v>8.502</v>
      </c>
      <c r="N153" s="16">
        <v>4.758</v>
      </c>
      <c r="O153" s="16">
        <v>5.0</v>
      </c>
      <c r="P153" s="16">
        <v>8.0</v>
      </c>
      <c r="Q153" s="17" t="str">
        <f t="shared" si="1"/>
        <v>1.6</v>
      </c>
      <c r="R153" s="17" t="str">
        <f t="shared" si="2"/>
        <v>1.238636364</v>
      </c>
      <c r="S153" s="17" t="str">
        <f t="shared" si="8"/>
        <v>1.050861707</v>
      </c>
      <c r="T153" s="17" t="s">
        <v>30</v>
      </c>
      <c r="U153" s="17" t="str">
        <f t="shared" si="135"/>
        <v>Thermal Fault &lt;700c, thermal fault &gt;700c </v>
      </c>
      <c r="V153" s="17" t="s">
        <v>37</v>
      </c>
      <c r="W153" s="17" t="str">
        <f t="shared" si="3"/>
        <v>1.6</v>
      </c>
      <c r="X153" s="17" t="str">
        <f t="shared" si="33"/>
        <v>1.238636364</v>
      </c>
      <c r="Y153" s="17" t="str">
        <f t="shared" si="9"/>
        <v>1.050861707</v>
      </c>
      <c r="Z153" s="17" t="str">
        <f t="shared" si="134"/>
        <v>Discharge of Low Energy,  </v>
      </c>
      <c r="AA153" s="17" t="str">
        <f t="shared" si="136"/>
        <v>Thermal  Fault &gt;300c and&lt;700 and &gt;700 c</v>
      </c>
      <c r="AB153" s="17" t="str">
        <f t="shared" si="137"/>
        <v>Thermal  Fault  &gt;700 c</v>
      </c>
      <c r="AC153" s="17" t="str">
        <f t="shared" si="5"/>
        <v>1.238636364</v>
      </c>
      <c r="AD153" s="18" t="str">
        <f t="shared" si="10"/>
        <v>1.6</v>
      </c>
      <c r="AE153" s="17" t="str">
        <f t="shared" si="6"/>
        <v>0.9409550694</v>
      </c>
      <c r="AF153" s="17" t="str">
        <f t="shared" si="11"/>
        <v>0.59475</v>
      </c>
      <c r="AG153" s="17" t="str">
        <f t="shared" si="138"/>
        <v>Thermal Decomposition, </v>
      </c>
      <c r="AH153" s="17" t="str">
        <f t="shared" si="68"/>
        <v>Arching</v>
      </c>
      <c r="AI153" s="17" t="str">
        <f t="shared" si="16"/>
        <v>Arching</v>
      </c>
      <c r="AJ153" s="17" t="str">
        <f t="shared" si="7"/>
        <v>Thermal Decomposition,corona </v>
      </c>
    </row>
    <row r="154" ht="12.75" customHeight="1">
      <c r="A154" s="11">
        <v>152.0</v>
      </c>
      <c r="B154" s="22" t="s">
        <v>181</v>
      </c>
      <c r="C154" s="22" t="s">
        <v>78</v>
      </c>
      <c r="D154" s="22" t="s">
        <v>178</v>
      </c>
      <c r="E154" s="22" t="s">
        <v>179</v>
      </c>
      <c r="F154" s="17">
        <v>2001.0</v>
      </c>
      <c r="G154" s="19">
        <v>8.1</v>
      </c>
      <c r="H154" s="16">
        <v>7.3709999999999996</v>
      </c>
      <c r="I154" s="16">
        <v>15544.305</v>
      </c>
      <c r="J154" s="16">
        <v>61775.86499999999</v>
      </c>
      <c r="K154" s="16">
        <v>210.276</v>
      </c>
      <c r="L154" s="16">
        <v>2278.044</v>
      </c>
      <c r="M154" s="16">
        <v>13.202999999999998</v>
      </c>
      <c r="N154" s="16">
        <v>5.5889999999999995</v>
      </c>
      <c r="O154" s="16">
        <v>7.0</v>
      </c>
      <c r="P154" s="16">
        <v>8.0</v>
      </c>
      <c r="Q154" s="17" t="str">
        <f t="shared" si="1"/>
        <v>1.142857143</v>
      </c>
      <c r="R154" s="17" t="str">
        <f t="shared" si="2"/>
        <v>1.791208791</v>
      </c>
      <c r="S154" s="17" t="str">
        <f t="shared" si="8"/>
        <v>1.25246019</v>
      </c>
      <c r="T154" s="17" t="s">
        <v>30</v>
      </c>
      <c r="U154" s="17" t="str">
        <f t="shared" si="135"/>
        <v>Thermal Fault &lt;700c, thermal fault &gt;700c </v>
      </c>
      <c r="V154" s="17" t="s">
        <v>37</v>
      </c>
      <c r="W154" s="17" t="str">
        <f t="shared" si="3"/>
        <v>1.142857143</v>
      </c>
      <c r="X154" s="17" t="str">
        <f t="shared" si="33"/>
        <v>1.791208791</v>
      </c>
      <c r="Y154" s="17" t="str">
        <f t="shared" si="9"/>
        <v>1.25246019</v>
      </c>
      <c r="Z154" s="17" t="str">
        <f t="shared" si="134"/>
        <v>Discharge of Low Energy,  </v>
      </c>
      <c r="AA154" s="17" t="str">
        <f t="shared" si="136"/>
        <v>Thermal  Fault &gt;300c and&lt;700 and &gt;700 c</v>
      </c>
      <c r="AB154" s="17" t="str">
        <f t="shared" si="137"/>
        <v>Thermal  Fault  &gt;700 c</v>
      </c>
      <c r="AC154" s="17" t="str">
        <f t="shared" si="5"/>
        <v>1.791208791</v>
      </c>
      <c r="AD154" s="18" t="str">
        <f t="shared" si="10"/>
        <v>1.142857143</v>
      </c>
      <c r="AE154" s="17" t="str">
        <f t="shared" si="6"/>
        <v>0.6059228963</v>
      </c>
      <c r="AF154" s="17" t="str">
        <f t="shared" si="11"/>
        <v>0.698625</v>
      </c>
      <c r="AG154" s="17" t="str">
        <f t="shared" si="138"/>
        <v>Thermal Decomposition, </v>
      </c>
      <c r="AH154" s="17" t="str">
        <f t="shared" si="68"/>
        <v>Arching</v>
      </c>
      <c r="AI154" s="17" t="str">
        <f t="shared" si="16"/>
        <v>Arching</v>
      </c>
      <c r="AJ154" s="17" t="str">
        <f t="shared" si="7"/>
        <v>Thermal Decomposition,corona </v>
      </c>
    </row>
    <row r="155" ht="12.75" customHeight="1">
      <c r="A155" s="11">
        <v>153.0</v>
      </c>
      <c r="B155" s="22" t="s">
        <v>182</v>
      </c>
      <c r="C155" s="22" t="s">
        <v>78</v>
      </c>
      <c r="D155" s="22" t="s">
        <v>178</v>
      </c>
      <c r="E155" s="22" t="s">
        <v>183</v>
      </c>
      <c r="F155" s="17">
        <v>2003.0</v>
      </c>
      <c r="G155" s="19">
        <v>8.3</v>
      </c>
      <c r="H155" s="16">
        <v>10.375</v>
      </c>
      <c r="I155" s="16">
        <v>15938.241000000002</v>
      </c>
      <c r="J155" s="16">
        <v>63449.68200000001</v>
      </c>
      <c r="K155" s="16">
        <v>256.55300000000005</v>
      </c>
      <c r="L155" s="16">
        <v>2676.335</v>
      </c>
      <c r="M155" s="16">
        <v>8.217</v>
      </c>
      <c r="N155" s="16">
        <v>2.075</v>
      </c>
      <c r="O155" s="16">
        <v>8.0</v>
      </c>
      <c r="P155" s="16">
        <v>11.0</v>
      </c>
      <c r="Q155" s="17" t="str">
        <f t="shared" si="1"/>
        <v>1.375</v>
      </c>
      <c r="R155" s="17" t="str">
        <f t="shared" si="2"/>
        <v>0.792</v>
      </c>
      <c r="S155" s="17" t="str">
        <f t="shared" si="8"/>
        <v>3.855421687</v>
      </c>
      <c r="T155" s="17" t="s">
        <v>30</v>
      </c>
      <c r="U155" s="17" t="s">
        <v>31</v>
      </c>
      <c r="V155" s="17" t="str">
        <f>IF(S155&lt;1,"Partial discharge, Normal ",IF(S155&gt;3,"Arching,Thermal  Fault &gt; 700 c"))</f>
        <v>Arching,Thermal  Fault &gt; 700 c</v>
      </c>
      <c r="W155" s="17" t="str">
        <f t="shared" si="3"/>
        <v>1.375</v>
      </c>
      <c r="X155" s="17" t="str">
        <f t="shared" si="33"/>
        <v>0.792</v>
      </c>
      <c r="Y155" s="17" t="str">
        <f t="shared" si="9"/>
        <v>3.855421687</v>
      </c>
      <c r="Z155" s="17" t="str">
        <f t="shared" si="134"/>
        <v>Discharge of Low Energy,  </v>
      </c>
      <c r="AA155" s="17" t="s">
        <v>34</v>
      </c>
      <c r="AB155" s="17" t="str">
        <f t="shared" si="137"/>
        <v>Thermal  Fault  &gt;700 c</v>
      </c>
      <c r="AC155" s="17" t="str">
        <f t="shared" si="5"/>
        <v>0.792</v>
      </c>
      <c r="AD155" s="18" t="str">
        <f t="shared" si="10"/>
        <v>1.375</v>
      </c>
      <c r="AE155" s="17" t="str">
        <f t="shared" si="6"/>
        <v>1.338688086</v>
      </c>
      <c r="AF155" s="17" t="str">
        <f t="shared" si="11"/>
        <v>0.1886363636</v>
      </c>
      <c r="AG155" s="17" t="s">
        <v>30</v>
      </c>
      <c r="AH155" s="17" t="str">
        <f t="shared" si="68"/>
        <v>Arching</v>
      </c>
      <c r="AI155" s="17" t="str">
        <f t="shared" si="16"/>
        <v>Arching</v>
      </c>
      <c r="AJ155" s="17" t="str">
        <f t="shared" si="7"/>
        <v>Arching</v>
      </c>
    </row>
    <row r="156" ht="12.75" customHeight="1">
      <c r="A156" s="11">
        <v>154.0</v>
      </c>
      <c r="B156" s="17">
        <v>29758.0</v>
      </c>
      <c r="C156" s="22" t="s">
        <v>78</v>
      </c>
      <c r="D156" s="22" t="s">
        <v>178</v>
      </c>
      <c r="E156" s="22" t="s">
        <v>138</v>
      </c>
      <c r="F156" s="17">
        <v>2003.0</v>
      </c>
      <c r="G156" s="19">
        <v>8.2</v>
      </c>
      <c r="H156" s="16">
        <v>7.871999999999998</v>
      </c>
      <c r="I156" s="16">
        <v>16914.221999999998</v>
      </c>
      <c r="J156" s="16">
        <v>61759.858</v>
      </c>
      <c r="K156" s="16">
        <v>183.35199999999998</v>
      </c>
      <c r="L156" s="16">
        <v>2462.296</v>
      </c>
      <c r="M156" s="16">
        <v>1.5579999999999998</v>
      </c>
      <c r="N156" s="16">
        <v>4.0</v>
      </c>
      <c r="O156" s="16">
        <v>5.0</v>
      </c>
      <c r="P156" s="16">
        <v>9.0</v>
      </c>
      <c r="Q156" s="17" t="str">
        <f t="shared" si="1"/>
        <v>1.8</v>
      </c>
      <c r="R156" s="17" t="str">
        <f t="shared" si="2"/>
        <v>0.1979166667</v>
      </c>
      <c r="S156" s="17" t="str">
        <f t="shared" si="8"/>
        <v>1.25</v>
      </c>
      <c r="T156" s="17" t="s">
        <v>30</v>
      </c>
      <c r="U156" s="17" t="s">
        <v>31</v>
      </c>
      <c r="V156" s="17" t="s">
        <v>37</v>
      </c>
      <c r="W156" s="17" t="str">
        <f t="shared" si="3"/>
        <v>1.8</v>
      </c>
      <c r="X156" s="17" t="str">
        <f t="shared" si="33"/>
        <v>0.1979166667</v>
      </c>
      <c r="Y156" s="17" t="str">
        <f t="shared" si="9"/>
        <v>1.25</v>
      </c>
      <c r="Z156" s="17" t="str">
        <f t="shared" si="134"/>
        <v>Discharge of Low Energy,  </v>
      </c>
      <c r="AA156" s="17" t="s">
        <v>34</v>
      </c>
      <c r="AB156" s="17" t="str">
        <f t="shared" si="137"/>
        <v>Thermal  Fault  &gt;700 c</v>
      </c>
      <c r="AC156" s="17" t="str">
        <f t="shared" si="5"/>
        <v>0.1979166667</v>
      </c>
      <c r="AD156" s="18" t="str">
        <f t="shared" si="10"/>
        <v>1.8</v>
      </c>
      <c r="AE156" s="17" t="str">
        <f t="shared" si="6"/>
        <v>5.776636714</v>
      </c>
      <c r="AF156" s="17" t="str">
        <f t="shared" si="11"/>
        <v>0.4444444444</v>
      </c>
      <c r="AG156" s="17" t="s">
        <v>30</v>
      </c>
      <c r="AH156" s="17" t="str">
        <f t="shared" si="68"/>
        <v>Arching</v>
      </c>
      <c r="AI156" s="17" t="str">
        <f t="shared" si="16"/>
        <v>Arching</v>
      </c>
      <c r="AJ156" s="17" t="str">
        <f t="shared" si="7"/>
        <v>Thermal Decomposition,corona </v>
      </c>
    </row>
    <row r="157" ht="12.75" customHeight="1">
      <c r="A157" s="11">
        <v>155.0</v>
      </c>
      <c r="B157" s="17">
        <v>2.0161629E7</v>
      </c>
      <c r="C157" s="22" t="s">
        <v>78</v>
      </c>
      <c r="D157" s="22" t="s">
        <v>178</v>
      </c>
      <c r="E157" s="22" t="s">
        <v>91</v>
      </c>
      <c r="F157" s="17">
        <v>2004.0</v>
      </c>
      <c r="G157" s="19">
        <v>8.1</v>
      </c>
      <c r="H157" s="16">
        <v>12.231</v>
      </c>
      <c r="I157" s="16">
        <v>16851.321</v>
      </c>
      <c r="J157" s="16">
        <v>61180.91999999999</v>
      </c>
      <c r="K157" s="16">
        <v>211.491</v>
      </c>
      <c r="L157" s="16">
        <v>2129.733</v>
      </c>
      <c r="M157" s="16">
        <v>4.212</v>
      </c>
      <c r="N157" s="16">
        <v>7.0</v>
      </c>
      <c r="O157" s="16">
        <v>3.0</v>
      </c>
      <c r="P157" s="16">
        <v>9.0</v>
      </c>
      <c r="Q157" s="17" t="str">
        <f t="shared" si="1"/>
        <v>3</v>
      </c>
      <c r="R157" s="17" t="str">
        <f t="shared" si="2"/>
        <v>0.3443708609</v>
      </c>
      <c r="S157" s="17" t="str">
        <f t="shared" si="8"/>
        <v>0.4285714286</v>
      </c>
      <c r="T157" s="17" t="s">
        <v>30</v>
      </c>
      <c r="U157" s="17" t="s">
        <v>31</v>
      </c>
      <c r="V157" s="17" t="str">
        <f t="shared" ref="V157:V158" si="139">IF(S157&lt;1,"Partial discharge, Normal ",IF(S157&gt;3,"Arching,Thermal  Fault &gt; 700 c"))</f>
        <v>Partial discharge, Normal </v>
      </c>
      <c r="W157" s="17" t="str">
        <f t="shared" si="3"/>
        <v>3</v>
      </c>
      <c r="X157" s="17" t="str">
        <f t="shared" si="33"/>
        <v>0.3443708609</v>
      </c>
      <c r="Y157" s="17" t="str">
        <f t="shared" si="9"/>
        <v>0.4285714286</v>
      </c>
      <c r="Z157" s="17" t="str">
        <f t="shared" si="134"/>
        <v>Discharge of Low Energy,  </v>
      </c>
      <c r="AA157" s="17" t="s">
        <v>34</v>
      </c>
      <c r="AB157" s="17" t="s">
        <v>107</v>
      </c>
      <c r="AC157" s="17" t="str">
        <f t="shared" si="5"/>
        <v>0.3443708609</v>
      </c>
      <c r="AD157" s="18" t="str">
        <f t="shared" si="10"/>
        <v>3</v>
      </c>
      <c r="AE157" s="17" t="str">
        <f t="shared" si="6"/>
        <v>2.136752137</v>
      </c>
      <c r="AF157" s="17" t="str">
        <f t="shared" si="11"/>
        <v>0.7777777778</v>
      </c>
      <c r="AG157" s="17" t="s">
        <v>30</v>
      </c>
      <c r="AH157" s="17" t="str">
        <f t="shared" si="68"/>
        <v>Arching</v>
      </c>
      <c r="AI157" s="17" t="str">
        <f t="shared" si="16"/>
        <v>Arching</v>
      </c>
      <c r="AJ157" s="17" t="str">
        <f t="shared" si="7"/>
        <v>Thermal Decomposition,corona </v>
      </c>
    </row>
    <row r="158" ht="12.75" customHeight="1">
      <c r="A158" s="11">
        <v>156.0</v>
      </c>
      <c r="B158" s="17">
        <v>2015970.0</v>
      </c>
      <c r="C158" s="22" t="s">
        <v>78</v>
      </c>
      <c r="D158" s="22" t="s">
        <v>184</v>
      </c>
      <c r="E158" s="22" t="s">
        <v>91</v>
      </c>
      <c r="F158" s="17">
        <v>2004.0</v>
      </c>
      <c r="G158" s="19">
        <v>8.0</v>
      </c>
      <c r="H158" s="16">
        <v>80.64</v>
      </c>
      <c r="I158" s="16">
        <v>16589.28</v>
      </c>
      <c r="J158" s="16">
        <v>60878.16</v>
      </c>
      <c r="K158" s="16">
        <v>120.88000000000001</v>
      </c>
      <c r="L158" s="16">
        <v>1351.28</v>
      </c>
      <c r="M158" s="16">
        <v>7.199999999999999</v>
      </c>
      <c r="N158" s="16">
        <v>9.0</v>
      </c>
      <c r="O158" s="16">
        <v>8.0</v>
      </c>
      <c r="P158" s="16">
        <v>4.0</v>
      </c>
      <c r="Q158" s="17" t="str">
        <f t="shared" si="1"/>
        <v>0.5</v>
      </c>
      <c r="R158" s="17" t="str">
        <f t="shared" si="2"/>
        <v>0.08928571429</v>
      </c>
      <c r="S158" s="17" t="str">
        <f t="shared" si="8"/>
        <v>0.8888888889</v>
      </c>
      <c r="T158" s="17" t="str">
        <f>IF(Q158&lt;1,"Partial discharge,Low Temprature thermal fault,")</f>
        <v>Partial discharge,Low Temprature thermal fault,</v>
      </c>
      <c r="U158" s="17" t="s">
        <v>31</v>
      </c>
      <c r="V158" s="17" t="str">
        <f t="shared" si="139"/>
        <v>Partial discharge, Normal </v>
      </c>
      <c r="W158" s="17" t="str">
        <f t="shared" si="3"/>
        <v>0.5</v>
      </c>
      <c r="X158" s="17" t="str">
        <f t="shared" si="33"/>
        <v>0.08928571429</v>
      </c>
      <c r="Y158" s="17" t="str">
        <f t="shared" si="9"/>
        <v>0.8888888889</v>
      </c>
      <c r="Z158" s="17" t="s">
        <v>34</v>
      </c>
      <c r="AA158" s="17" t="str">
        <f t="shared" ref="AA158:AA159" si="140">IF(X158&lt;0.1,"Partial Discharges, ",IF(X158&gt;1,"Thermal  Fault &gt;300c and&lt;700 and &gt;700 c"))</f>
        <v>Partial Discharges, </v>
      </c>
      <c r="AB158" s="17" t="s">
        <v>107</v>
      </c>
      <c r="AC158" s="17" t="str">
        <f t="shared" si="5"/>
        <v>0.08928571429</v>
      </c>
      <c r="AD158" s="18" t="str">
        <f t="shared" si="10"/>
        <v>0.5</v>
      </c>
      <c r="AE158" s="17" t="str">
        <f t="shared" si="6"/>
        <v>0.5555555556</v>
      </c>
      <c r="AF158" s="17" t="str">
        <f t="shared" si="11"/>
        <v>2.25</v>
      </c>
      <c r="AG158" s="17" t="str">
        <f t="shared" ref="AG158:AG159" si="141">IF(AC158&gt;1,"Thermal Decomposition, ",IF(AC158&lt;0.1,"Corona,Arching"))</f>
        <v>Corona,Arching</v>
      </c>
      <c r="AH158" s="17" t="str">
        <f t="shared" si="68"/>
        <v>Thermal Decomposition, </v>
      </c>
      <c r="AI158" s="17" t="str">
        <f t="shared" si="16"/>
        <v>Arching</v>
      </c>
      <c r="AJ158" s="17" t="str">
        <f t="shared" si="7"/>
        <v>Thermal Decomposition,corona </v>
      </c>
    </row>
    <row r="159" ht="12.75" customHeight="1">
      <c r="A159" s="11">
        <v>157.0</v>
      </c>
      <c r="B159" s="17">
        <v>2015969.0</v>
      </c>
      <c r="C159" s="22" t="s">
        <v>78</v>
      </c>
      <c r="D159" s="22" t="s">
        <v>184</v>
      </c>
      <c r="E159" s="22" t="s">
        <v>91</v>
      </c>
      <c r="F159" s="17">
        <v>2004.0</v>
      </c>
      <c r="G159" s="19">
        <v>8.1</v>
      </c>
      <c r="H159" s="16">
        <v>5.021999999999999</v>
      </c>
      <c r="I159" s="16">
        <v>15642.639</v>
      </c>
      <c r="J159" s="16">
        <v>62309.736</v>
      </c>
      <c r="K159" s="16">
        <v>195.291</v>
      </c>
      <c r="L159" s="16">
        <v>1904.4719999999998</v>
      </c>
      <c r="M159" s="16">
        <v>5.265</v>
      </c>
      <c r="N159" s="16">
        <v>3.888</v>
      </c>
      <c r="O159" s="16">
        <v>5.0</v>
      </c>
      <c r="P159" s="16">
        <v>8.0</v>
      </c>
      <c r="Q159" s="17" t="str">
        <f t="shared" si="1"/>
        <v>1.6</v>
      </c>
      <c r="R159" s="17" t="str">
        <f t="shared" si="2"/>
        <v>1.048387097</v>
      </c>
      <c r="S159" s="17" t="str">
        <f t="shared" si="8"/>
        <v>1.28600823</v>
      </c>
      <c r="T159" s="17" t="s">
        <v>30</v>
      </c>
      <c r="U159" s="17" t="str">
        <f>IF(R159&gt;1,"Thermal Fault &lt;700c, thermal fault &gt;700c ")</f>
        <v>Thermal Fault &lt;700c, thermal fault &gt;700c </v>
      </c>
      <c r="V159" s="17" t="s">
        <v>37</v>
      </c>
      <c r="W159" s="17" t="str">
        <f t="shared" si="3"/>
        <v>1.6</v>
      </c>
      <c r="X159" s="17" t="str">
        <f t="shared" si="33"/>
        <v>1.048387097</v>
      </c>
      <c r="Y159" s="17" t="str">
        <f t="shared" si="9"/>
        <v>1.28600823</v>
      </c>
      <c r="Z159" s="17" t="str">
        <f>IF(W159&gt;1,"Discharge of Low Energy,  ",IF(W159&lt;0.1,"Thermal  Fault&gt; 300c and&lt;700 c"))</f>
        <v>Discharge of Low Energy,  </v>
      </c>
      <c r="AA159" s="17" t="str">
        <f t="shared" si="140"/>
        <v>Thermal  Fault &gt;300c and&lt;700 and &gt;700 c</v>
      </c>
      <c r="AB159" s="17" t="str">
        <f t="shared" ref="AB159:AB160" si="142">IF(Y159&lt;0.2,"Partial Discharges, ",IF(Y159&gt;1,"Thermal  Fault  &gt;700 c"))</f>
        <v>Thermal  Fault  &gt;700 c</v>
      </c>
      <c r="AC159" s="17" t="str">
        <f t="shared" si="5"/>
        <v>1.048387097</v>
      </c>
      <c r="AD159" s="18" t="str">
        <f t="shared" si="10"/>
        <v>1.6</v>
      </c>
      <c r="AE159" s="17" t="str">
        <f t="shared" si="6"/>
        <v>1.519468186</v>
      </c>
      <c r="AF159" s="17" t="str">
        <f t="shared" si="11"/>
        <v>0.486</v>
      </c>
      <c r="AG159" s="17" t="str">
        <f t="shared" si="141"/>
        <v>Thermal Decomposition, </v>
      </c>
      <c r="AH159" s="17" t="str">
        <f t="shared" si="68"/>
        <v>Arching</v>
      </c>
      <c r="AI159" s="17" t="str">
        <f t="shared" si="16"/>
        <v>Arching</v>
      </c>
      <c r="AJ159" s="17" t="str">
        <f t="shared" si="7"/>
        <v>Thermal Decomposition,corona </v>
      </c>
    </row>
    <row r="160" ht="12.75" customHeight="1">
      <c r="A160" s="11">
        <v>158.0</v>
      </c>
      <c r="B160" s="22" t="s">
        <v>185</v>
      </c>
      <c r="C160" s="22" t="s">
        <v>78</v>
      </c>
      <c r="D160" s="22" t="s">
        <v>184</v>
      </c>
      <c r="E160" s="22" t="s">
        <v>179</v>
      </c>
      <c r="F160" s="17">
        <v>2011.0</v>
      </c>
      <c r="G160" s="19">
        <v>7.8</v>
      </c>
      <c r="H160" s="16">
        <v>7.487999999999999</v>
      </c>
      <c r="I160" s="16">
        <v>15555.851999999999</v>
      </c>
      <c r="J160" s="16">
        <v>59425.547999999995</v>
      </c>
      <c r="K160" s="16">
        <v>185.796</v>
      </c>
      <c r="L160" s="16">
        <v>1665.768</v>
      </c>
      <c r="M160" s="16">
        <v>4.212000000000001</v>
      </c>
      <c r="N160" s="16">
        <v>3.8219999999999996</v>
      </c>
      <c r="O160" s="16">
        <v>9.0</v>
      </c>
      <c r="P160" s="16">
        <v>3.0</v>
      </c>
      <c r="Q160" s="17" t="str">
        <f t="shared" si="1"/>
        <v>0.3333333333</v>
      </c>
      <c r="R160" s="17" t="str">
        <f t="shared" si="2"/>
        <v>0.5625</v>
      </c>
      <c r="S160" s="17" t="str">
        <f t="shared" si="8"/>
        <v>2.354788069</v>
      </c>
      <c r="T160" s="17" t="str">
        <f t="shared" ref="T160:T161" si="143">IF(Q160&lt;1,"Partial discharge,Low Temprature thermal fault,")</f>
        <v>Partial discharge,Low Temprature thermal fault,</v>
      </c>
      <c r="U160" s="17" t="s">
        <v>31</v>
      </c>
      <c r="V160" s="17" t="s">
        <v>37</v>
      </c>
      <c r="W160" s="17" t="str">
        <f t="shared" si="3"/>
        <v>0.3333333333</v>
      </c>
      <c r="X160" s="17" t="str">
        <f t="shared" si="33"/>
        <v>0.5625</v>
      </c>
      <c r="Y160" s="17" t="str">
        <f t="shared" si="9"/>
        <v>2.354788069</v>
      </c>
      <c r="Z160" s="17" t="s">
        <v>34</v>
      </c>
      <c r="AA160" s="17" t="s">
        <v>34</v>
      </c>
      <c r="AB160" s="17" t="str">
        <f t="shared" si="142"/>
        <v>Thermal  Fault  &gt;700 c</v>
      </c>
      <c r="AC160" s="17" t="str">
        <f t="shared" si="5"/>
        <v>0.5625</v>
      </c>
      <c r="AD160" s="18" t="str">
        <f t="shared" si="10"/>
        <v>0.3333333333</v>
      </c>
      <c r="AE160" s="17" t="str">
        <f t="shared" si="6"/>
        <v>0.7122507123</v>
      </c>
      <c r="AF160" s="17" t="str">
        <f t="shared" si="11"/>
        <v>1.274</v>
      </c>
      <c r="AG160" s="17" t="s">
        <v>30</v>
      </c>
      <c r="AH160" s="17" t="str">
        <f t="shared" si="68"/>
        <v>Thermal Decomposition, </v>
      </c>
      <c r="AI160" s="17" t="str">
        <f t="shared" si="16"/>
        <v>Arching</v>
      </c>
      <c r="AJ160" s="17" t="str">
        <f t="shared" si="7"/>
        <v>Thermal Decomposition,corona </v>
      </c>
    </row>
    <row r="161" ht="12.75" customHeight="1">
      <c r="A161" s="11">
        <v>159.0</v>
      </c>
      <c r="B161" s="17">
        <v>2016865.0</v>
      </c>
      <c r="C161" s="22" t="s">
        <v>186</v>
      </c>
      <c r="D161" s="22" t="s">
        <v>187</v>
      </c>
      <c r="E161" s="22" t="s">
        <v>91</v>
      </c>
      <c r="F161" s="17">
        <v>2004.0</v>
      </c>
      <c r="G161" s="19">
        <v>8.2</v>
      </c>
      <c r="H161" s="16">
        <v>30.012</v>
      </c>
      <c r="I161" s="16">
        <v>16854.525999999998</v>
      </c>
      <c r="J161" s="16">
        <v>62275.556</v>
      </c>
      <c r="K161" s="16">
        <v>164.57399999999998</v>
      </c>
      <c r="L161" s="16">
        <v>1836.2259999999999</v>
      </c>
      <c r="M161" s="16">
        <v>4.592</v>
      </c>
      <c r="N161" s="16">
        <v>8.0</v>
      </c>
      <c r="O161" s="16">
        <v>5.0</v>
      </c>
      <c r="P161" s="16">
        <v>0.0</v>
      </c>
      <c r="Q161" s="17" t="str">
        <f t="shared" si="1"/>
        <v>0</v>
      </c>
      <c r="R161" s="17" t="str">
        <f t="shared" si="2"/>
        <v>0.1530054645</v>
      </c>
      <c r="S161" s="17" t="str">
        <f t="shared" si="8"/>
        <v>0.625</v>
      </c>
      <c r="T161" s="17" t="str">
        <f t="shared" si="143"/>
        <v>Partial discharge,Low Temprature thermal fault,</v>
      </c>
      <c r="U161" s="17" t="s">
        <v>31</v>
      </c>
      <c r="V161" s="17" t="str">
        <f t="shared" ref="V161:V162" si="144">IF(S161&lt;1,"Partial discharge, Normal ",IF(S161&gt;3,"Arching,Thermal  Fault &gt; 700 c"))</f>
        <v>Partial discharge, Normal </v>
      </c>
      <c r="W161" s="17" t="str">
        <f t="shared" si="3"/>
        <v>0</v>
      </c>
      <c r="X161" s="17" t="str">
        <f t="shared" si="33"/>
        <v>0.1530054645</v>
      </c>
      <c r="Y161" s="17" t="str">
        <f t="shared" si="9"/>
        <v>0.625</v>
      </c>
      <c r="Z161" s="17" t="str">
        <f t="shared" ref="Z161:Z162" si="145">IF(W161&gt;1,"Discharge of Low Energy,  ",IF(W161&lt;0.1,"Thermal  Fault&gt; 300c and&lt;700 c"))</f>
        <v>Thermal  Fault&gt; 300c and&lt;700 c</v>
      </c>
      <c r="AA161" s="17" t="s">
        <v>34</v>
      </c>
      <c r="AB161" s="17" t="s">
        <v>107</v>
      </c>
      <c r="AC161" s="17" t="str">
        <f t="shared" si="5"/>
        <v>0.1530054645</v>
      </c>
      <c r="AD161" s="18" t="str">
        <f t="shared" si="10"/>
        <v>0</v>
      </c>
      <c r="AE161" s="17" t="str">
        <f t="shared" si="6"/>
        <v>0</v>
      </c>
      <c r="AF161" s="17" t="str">
        <f t="shared" si="11"/>
        <v> </v>
      </c>
      <c r="AG161" s="17" t="s">
        <v>30</v>
      </c>
      <c r="AH161" s="17" t="str">
        <f t="shared" si="68"/>
        <v>Thermal Decomposition, </v>
      </c>
      <c r="AI161" s="17" t="str">
        <f t="shared" si="16"/>
        <v>Thermal Decomposition,corona </v>
      </c>
      <c r="AJ161" s="17" t="str">
        <f t="shared" si="7"/>
        <v>Thermal Decomposition,corona </v>
      </c>
    </row>
    <row r="162" ht="12.75" customHeight="1">
      <c r="A162" s="11">
        <v>160.0</v>
      </c>
      <c r="B162" s="17">
        <v>2017091.0</v>
      </c>
      <c r="C162" s="22" t="s">
        <v>186</v>
      </c>
      <c r="D162" s="22" t="s">
        <v>187</v>
      </c>
      <c r="E162" s="22" t="s">
        <v>91</v>
      </c>
      <c r="F162" s="17">
        <v>2005.0</v>
      </c>
      <c r="G162" s="19">
        <v>7.9</v>
      </c>
      <c r="H162" s="16">
        <v>7.583999999999999</v>
      </c>
      <c r="I162" s="16">
        <v>15728.347000000002</v>
      </c>
      <c r="J162" s="16">
        <v>59686.63300000001</v>
      </c>
      <c r="K162" s="16">
        <v>211.79900000000004</v>
      </c>
      <c r="L162" s="16">
        <v>2372.449</v>
      </c>
      <c r="M162" s="16">
        <v>3.7130000000000005</v>
      </c>
      <c r="N162" s="16">
        <v>9.0</v>
      </c>
      <c r="O162" s="16">
        <v>6.0</v>
      </c>
      <c r="P162" s="16">
        <v>9.0</v>
      </c>
      <c r="Q162" s="17" t="str">
        <f t="shared" si="1"/>
        <v>1.5</v>
      </c>
      <c r="R162" s="17" t="str">
        <f t="shared" si="2"/>
        <v>0.4895833333</v>
      </c>
      <c r="S162" s="17" t="str">
        <f t="shared" si="8"/>
        <v>0.6666666667</v>
      </c>
      <c r="T162" s="17" t="s">
        <v>30</v>
      </c>
      <c r="U162" s="17" t="s">
        <v>31</v>
      </c>
      <c r="V162" s="17" t="str">
        <f t="shared" si="144"/>
        <v>Partial discharge, Normal </v>
      </c>
      <c r="W162" s="17" t="str">
        <f t="shared" si="3"/>
        <v>1.5</v>
      </c>
      <c r="X162" s="17" t="str">
        <f t="shared" si="33"/>
        <v>0.4895833333</v>
      </c>
      <c r="Y162" s="17" t="str">
        <f t="shared" si="9"/>
        <v>0.6666666667</v>
      </c>
      <c r="Z162" s="17" t="str">
        <f t="shared" si="145"/>
        <v>Discharge of Low Energy,  </v>
      </c>
      <c r="AA162" s="17" t="s">
        <v>34</v>
      </c>
      <c r="AB162" s="17" t="s">
        <v>107</v>
      </c>
      <c r="AC162" s="17" t="str">
        <f t="shared" si="5"/>
        <v>0.4895833333</v>
      </c>
      <c r="AD162" s="18" t="str">
        <f t="shared" si="10"/>
        <v>1.5</v>
      </c>
      <c r="AE162" s="17" t="str">
        <f t="shared" si="6"/>
        <v>2.423915971</v>
      </c>
      <c r="AF162" s="17" t="str">
        <f t="shared" si="11"/>
        <v>1</v>
      </c>
      <c r="AG162" s="17" t="s">
        <v>30</v>
      </c>
      <c r="AH162" s="17" t="str">
        <f t="shared" si="68"/>
        <v>Arching</v>
      </c>
      <c r="AI162" s="17" t="str">
        <f t="shared" si="16"/>
        <v>Arching</v>
      </c>
      <c r="AJ162" s="17" t="str">
        <f t="shared" si="7"/>
        <v>Thermal Decomposition,corona </v>
      </c>
    </row>
    <row r="163" ht="12.75" customHeight="1">
      <c r="A163" s="11">
        <v>161.0</v>
      </c>
      <c r="B163" s="22" t="s">
        <v>188</v>
      </c>
      <c r="C163" s="22" t="s">
        <v>186</v>
      </c>
      <c r="D163" s="22" t="s">
        <v>187</v>
      </c>
      <c r="E163" s="22" t="s">
        <v>183</v>
      </c>
      <c r="F163" s="17">
        <v>2008.0</v>
      </c>
      <c r="G163" s="19">
        <v>8.3</v>
      </c>
      <c r="H163" s="16">
        <v>17.264000000000003</v>
      </c>
      <c r="I163" s="16">
        <v>17081.981000000003</v>
      </c>
      <c r="J163" s="16">
        <v>61550.144000000015</v>
      </c>
      <c r="K163" s="16">
        <v>194.967</v>
      </c>
      <c r="L163" s="16">
        <v>2986.506</v>
      </c>
      <c r="M163" s="16">
        <v>10.458</v>
      </c>
      <c r="N163" s="16">
        <v>4.648</v>
      </c>
      <c r="O163" s="16">
        <v>8.0</v>
      </c>
      <c r="P163" s="16">
        <v>6.0</v>
      </c>
      <c r="Q163" s="17" t="str">
        <f t="shared" si="1"/>
        <v>0.75</v>
      </c>
      <c r="R163" s="17" t="str">
        <f t="shared" si="2"/>
        <v>0.6057692308</v>
      </c>
      <c r="S163" s="17" t="str">
        <f t="shared" si="8"/>
        <v>1.721170396</v>
      </c>
      <c r="T163" s="17" t="str">
        <f>IF(Q163&lt;1,"Partial discharge,Low Temprature thermal fault,")</f>
        <v>Partial discharge,Low Temprature thermal fault,</v>
      </c>
      <c r="U163" s="17" t="s">
        <v>31</v>
      </c>
      <c r="V163" s="17" t="s">
        <v>37</v>
      </c>
      <c r="W163" s="17" t="str">
        <f t="shared" si="3"/>
        <v>0.75</v>
      </c>
      <c r="X163" s="17" t="str">
        <f t="shared" si="33"/>
        <v>0.6057692308</v>
      </c>
      <c r="Y163" s="17" t="str">
        <f t="shared" si="9"/>
        <v>1.721170396</v>
      </c>
      <c r="Z163" s="17" t="s">
        <v>34</v>
      </c>
      <c r="AA163" s="17" t="s">
        <v>34</v>
      </c>
      <c r="AB163" s="17" t="str">
        <f t="shared" ref="AB163:AB165" si="146">IF(Y163&lt;0.2,"Partial Discharges, ",IF(Y163&gt;1,"Thermal  Fault  &gt;700 c"))</f>
        <v>Thermal  Fault  &gt;700 c</v>
      </c>
      <c r="AC163" s="17" t="str">
        <f t="shared" si="5"/>
        <v>0.6057692308</v>
      </c>
      <c r="AD163" s="18" t="str">
        <f t="shared" si="10"/>
        <v>0.75</v>
      </c>
      <c r="AE163" s="17" t="str">
        <f t="shared" si="6"/>
        <v>0.5737234653</v>
      </c>
      <c r="AF163" s="17" t="str">
        <f t="shared" si="11"/>
        <v>0.7746666667</v>
      </c>
      <c r="AG163" s="17" t="s">
        <v>30</v>
      </c>
      <c r="AH163" s="17" t="str">
        <f t="shared" si="68"/>
        <v>FALSE</v>
      </c>
      <c r="AI163" s="17" t="str">
        <f t="shared" si="16"/>
        <v>Arching</v>
      </c>
      <c r="AJ163" s="17" t="str">
        <f t="shared" si="7"/>
        <v>Thermal Decomposition,corona </v>
      </c>
    </row>
    <row r="164" ht="12.75" customHeight="1">
      <c r="A164" s="11">
        <v>162.0</v>
      </c>
      <c r="B164" s="17">
        <v>2016864.0</v>
      </c>
      <c r="C164" s="22" t="s">
        <v>186</v>
      </c>
      <c r="D164" s="22" t="s">
        <v>187</v>
      </c>
      <c r="E164" s="22" t="s">
        <v>91</v>
      </c>
      <c r="F164" s="17">
        <v>2004.0</v>
      </c>
      <c r="G164" s="19">
        <v>8.0</v>
      </c>
      <c r="H164" s="16">
        <v>6.08</v>
      </c>
      <c r="I164" s="16">
        <v>15352.4</v>
      </c>
      <c r="J164" s="16">
        <v>62206.96000000001</v>
      </c>
      <c r="K164" s="16">
        <v>123.6</v>
      </c>
      <c r="L164" s="16">
        <v>1375.44</v>
      </c>
      <c r="M164" s="16">
        <v>4.4799999999999995</v>
      </c>
      <c r="N164" s="16">
        <v>3.84</v>
      </c>
      <c r="O164" s="16">
        <v>5.0</v>
      </c>
      <c r="P164" s="16">
        <v>8.0</v>
      </c>
      <c r="Q164" s="17" t="str">
        <f t="shared" si="1"/>
        <v>1.6</v>
      </c>
      <c r="R164" s="17" t="str">
        <f t="shared" si="2"/>
        <v>0.7368421053</v>
      </c>
      <c r="S164" s="17" t="str">
        <f t="shared" si="8"/>
        <v>1.302083333</v>
      </c>
      <c r="T164" s="17" t="s">
        <v>30</v>
      </c>
      <c r="U164" s="17" t="s">
        <v>31</v>
      </c>
      <c r="V164" s="17" t="s">
        <v>37</v>
      </c>
      <c r="W164" s="17" t="str">
        <f t="shared" si="3"/>
        <v>1.6</v>
      </c>
      <c r="X164" s="17" t="str">
        <f t="shared" si="33"/>
        <v>0.7368421053</v>
      </c>
      <c r="Y164" s="17" t="str">
        <f t="shared" si="9"/>
        <v>1.302083333</v>
      </c>
      <c r="Z164" s="17" t="str">
        <f t="shared" ref="Z164:Z174" si="147">IF(W164&gt;1,"Discharge of Low Energy,  ",IF(W164&lt;0.1,"Thermal  Fault&gt; 300c and&lt;700 c"))</f>
        <v>Discharge of Low Energy,  </v>
      </c>
      <c r="AA164" s="17" t="s">
        <v>34</v>
      </c>
      <c r="AB164" s="17" t="str">
        <f t="shared" si="146"/>
        <v>Thermal  Fault  &gt;700 c</v>
      </c>
      <c r="AC164" s="17" t="str">
        <f t="shared" si="5"/>
        <v>0.7368421053</v>
      </c>
      <c r="AD164" s="18" t="str">
        <f t="shared" si="10"/>
        <v>1.6</v>
      </c>
      <c r="AE164" s="17" t="str">
        <f t="shared" si="6"/>
        <v>1.785714286</v>
      </c>
      <c r="AF164" s="17" t="str">
        <f t="shared" si="11"/>
        <v>0.48</v>
      </c>
      <c r="AG164" s="17" t="s">
        <v>30</v>
      </c>
      <c r="AH164" s="17" t="str">
        <f t="shared" si="68"/>
        <v>Arching</v>
      </c>
      <c r="AI164" s="17" t="str">
        <f t="shared" si="16"/>
        <v>Arching</v>
      </c>
      <c r="AJ164" s="17" t="str">
        <f t="shared" si="7"/>
        <v>Thermal Decomposition,corona </v>
      </c>
    </row>
    <row r="165" ht="12.75" customHeight="1">
      <c r="A165" s="11">
        <v>163.0</v>
      </c>
      <c r="B165" s="22" t="s">
        <v>189</v>
      </c>
      <c r="C165" s="22" t="s">
        <v>186</v>
      </c>
      <c r="D165" s="22" t="s">
        <v>190</v>
      </c>
      <c r="E165" s="22" t="s">
        <v>183</v>
      </c>
      <c r="F165" s="22" t="s">
        <v>191</v>
      </c>
      <c r="G165" s="19">
        <v>8.5</v>
      </c>
      <c r="H165" s="16">
        <v>22.014999999999997</v>
      </c>
      <c r="I165" s="16">
        <v>16761.32</v>
      </c>
      <c r="J165" s="16">
        <v>63918.72499999999</v>
      </c>
      <c r="K165" s="16">
        <v>160.565</v>
      </c>
      <c r="L165" s="16">
        <v>1917.4299999999998</v>
      </c>
      <c r="M165" s="16">
        <v>301.58</v>
      </c>
      <c r="N165" s="16">
        <v>276.93</v>
      </c>
      <c r="O165" s="16">
        <v>1049.24</v>
      </c>
      <c r="P165" s="16">
        <v>5555.0</v>
      </c>
      <c r="Q165" s="17" t="str">
        <f t="shared" si="1"/>
        <v>5.294308261</v>
      </c>
      <c r="R165" s="17" t="str">
        <f t="shared" si="2"/>
        <v>13.6988417</v>
      </c>
      <c r="S165" s="17" t="str">
        <f t="shared" si="8"/>
        <v>3.788827502</v>
      </c>
      <c r="T165" s="17" t="s">
        <v>30</v>
      </c>
      <c r="U165" s="17" t="str">
        <f>IF(R165&gt;1,"Thermal Fault &lt;700c, thermal fault &gt;700c ")</f>
        <v>Thermal Fault &lt;700c, thermal fault &gt;700c </v>
      </c>
      <c r="V165" s="17" t="str">
        <f t="shared" ref="V165:V167" si="148">IF(S165&lt;1,"Partial discharge, Normal ",IF(S165&gt;3,"Arching,Thermal  Fault &gt; 700 c"))</f>
        <v>Arching,Thermal  Fault &gt; 700 c</v>
      </c>
      <c r="W165" s="17" t="str">
        <f t="shared" si="3"/>
        <v>5.294308261</v>
      </c>
      <c r="X165" s="17" t="str">
        <f t="shared" si="33"/>
        <v>13.6988417</v>
      </c>
      <c r="Y165" s="17" t="str">
        <f t="shared" si="9"/>
        <v>3.788827502</v>
      </c>
      <c r="Z165" s="17" t="str">
        <f t="shared" si="147"/>
        <v>Discharge of Low Energy,  </v>
      </c>
      <c r="AA165" s="17" t="str">
        <f>IF(X165&lt;0.1,"Partial Discharges, ",IF(X165&gt;1,"Thermal  Fault &gt;300c and&lt;700 and &gt;700 c"))</f>
        <v>Thermal  Fault &gt;300c and&lt;700 and &gt;700 c</v>
      </c>
      <c r="AB165" s="17" t="str">
        <f t="shared" si="146"/>
        <v>Thermal  Fault  &gt;700 c</v>
      </c>
      <c r="AC165" s="17" t="str">
        <f t="shared" si="5"/>
        <v>13.6988417</v>
      </c>
      <c r="AD165" s="18" t="str">
        <f t="shared" si="10"/>
        <v>5.294308261</v>
      </c>
      <c r="AE165" s="17" t="str">
        <f t="shared" si="6"/>
        <v>18.41965648</v>
      </c>
      <c r="AF165" s="17" t="str">
        <f t="shared" si="11"/>
        <v>0.04985238524</v>
      </c>
      <c r="AG165" s="17" t="str">
        <f>IF(AC165&gt;1,"Thermal Decomposition, ",IF(AC165&lt;0.1,"Corona,Arching"))</f>
        <v>Thermal Decomposition, </v>
      </c>
      <c r="AH165" s="17" t="str">
        <f t="shared" si="68"/>
        <v>Arching</v>
      </c>
      <c r="AI165" s="17" t="str">
        <f t="shared" si="16"/>
        <v>Arching</v>
      </c>
      <c r="AJ165" s="17" t="str">
        <f t="shared" si="7"/>
        <v>Arching</v>
      </c>
    </row>
    <row r="166" ht="12.75" customHeight="1">
      <c r="A166" s="11">
        <v>164.0</v>
      </c>
      <c r="B166" s="22" t="s">
        <v>192</v>
      </c>
      <c r="C166" s="22" t="s">
        <v>186</v>
      </c>
      <c r="D166" s="22" t="s">
        <v>190</v>
      </c>
      <c r="E166" s="22" t="s">
        <v>183</v>
      </c>
      <c r="F166" s="22" t="s">
        <v>191</v>
      </c>
      <c r="G166" s="19">
        <v>8.1</v>
      </c>
      <c r="H166" s="16">
        <v>8.019</v>
      </c>
      <c r="I166" s="16">
        <v>15627.491999999998</v>
      </c>
      <c r="J166" s="16">
        <v>62761.473</v>
      </c>
      <c r="K166" s="16">
        <v>153.981</v>
      </c>
      <c r="L166" s="16">
        <v>1666.008</v>
      </c>
      <c r="M166" s="16">
        <v>3.888</v>
      </c>
      <c r="N166" s="16">
        <v>5.5889999999999995</v>
      </c>
      <c r="O166" s="16">
        <v>4.0</v>
      </c>
      <c r="P166" s="16">
        <v>9.0</v>
      </c>
      <c r="Q166" s="17" t="str">
        <f t="shared" si="1"/>
        <v>2.25</v>
      </c>
      <c r="R166" s="17" t="str">
        <f t="shared" si="2"/>
        <v>0.4848484848</v>
      </c>
      <c r="S166" s="17" t="str">
        <f t="shared" si="8"/>
        <v>0.7156915369</v>
      </c>
      <c r="T166" s="17" t="s">
        <v>30</v>
      </c>
      <c r="U166" s="17" t="s">
        <v>31</v>
      </c>
      <c r="V166" s="17" t="str">
        <f t="shared" si="148"/>
        <v>Partial discharge, Normal </v>
      </c>
      <c r="W166" s="17" t="str">
        <f t="shared" si="3"/>
        <v>2.25</v>
      </c>
      <c r="X166" s="17" t="str">
        <f t="shared" si="33"/>
        <v>0.4848484848</v>
      </c>
      <c r="Y166" s="17" t="str">
        <f t="shared" si="9"/>
        <v>0.7156915369</v>
      </c>
      <c r="Z166" s="17" t="str">
        <f t="shared" si="147"/>
        <v>Discharge of Low Energy,  </v>
      </c>
      <c r="AA166" s="17" t="s">
        <v>34</v>
      </c>
      <c r="AB166" s="17" t="s">
        <v>107</v>
      </c>
      <c r="AC166" s="17" t="str">
        <f t="shared" si="5"/>
        <v>0.4848484848</v>
      </c>
      <c r="AD166" s="18" t="str">
        <f t="shared" si="10"/>
        <v>2.25</v>
      </c>
      <c r="AE166" s="17" t="str">
        <f t="shared" si="6"/>
        <v>2.314814815</v>
      </c>
      <c r="AF166" s="17" t="str">
        <f t="shared" si="11"/>
        <v>0.621</v>
      </c>
      <c r="AG166" s="17" t="s">
        <v>30</v>
      </c>
      <c r="AH166" s="17" t="str">
        <f t="shared" si="68"/>
        <v>Arching</v>
      </c>
      <c r="AI166" s="17" t="str">
        <f t="shared" si="16"/>
        <v>Arching</v>
      </c>
      <c r="AJ166" s="17" t="str">
        <f t="shared" si="7"/>
        <v>Thermal Decomposition,corona </v>
      </c>
    </row>
    <row r="167" ht="12.75" customHeight="1">
      <c r="A167" s="11">
        <v>165.0</v>
      </c>
      <c r="B167" s="22" t="s">
        <v>191</v>
      </c>
      <c r="C167" s="22" t="s">
        <v>82</v>
      </c>
      <c r="D167" s="22" t="s">
        <v>193</v>
      </c>
      <c r="E167" s="22" t="s">
        <v>191</v>
      </c>
      <c r="F167" s="22" t="s">
        <v>191</v>
      </c>
      <c r="G167" s="19">
        <v>7.9</v>
      </c>
      <c r="H167" s="16">
        <v>11.455000000000002</v>
      </c>
      <c r="I167" s="16">
        <v>15188.382000000001</v>
      </c>
      <c r="J167" s="16">
        <v>61537.365999999995</v>
      </c>
      <c r="K167" s="16">
        <v>154.524</v>
      </c>
      <c r="L167" s="16">
        <v>1663.5819999999999</v>
      </c>
      <c r="M167" s="16">
        <v>9.559000000000001</v>
      </c>
      <c r="N167" s="16">
        <v>9.0</v>
      </c>
      <c r="O167" s="16">
        <v>4.0</v>
      </c>
      <c r="P167" s="16">
        <v>6.0</v>
      </c>
      <c r="Q167" s="17" t="str">
        <f t="shared" si="1"/>
        <v>1.5</v>
      </c>
      <c r="R167" s="17" t="str">
        <f t="shared" si="2"/>
        <v>0.8344827586</v>
      </c>
      <c r="S167" s="17" t="str">
        <f t="shared" si="8"/>
        <v>0.4444444444</v>
      </c>
      <c r="T167" s="17" t="s">
        <v>30</v>
      </c>
      <c r="U167" s="17" t="s">
        <v>31</v>
      </c>
      <c r="V167" s="17" t="str">
        <f t="shared" si="148"/>
        <v>Partial discharge, Normal </v>
      </c>
      <c r="W167" s="17" t="str">
        <f t="shared" si="3"/>
        <v>1.5</v>
      </c>
      <c r="X167" s="17" t="str">
        <f t="shared" si="33"/>
        <v>0.8344827586</v>
      </c>
      <c r="Y167" s="17" t="str">
        <f t="shared" si="9"/>
        <v>0.4444444444</v>
      </c>
      <c r="Z167" s="17" t="str">
        <f t="shared" si="147"/>
        <v>Discharge of Low Energy,  </v>
      </c>
      <c r="AA167" s="17" t="s">
        <v>34</v>
      </c>
      <c r="AB167" s="17" t="s">
        <v>107</v>
      </c>
      <c r="AC167" s="17" t="str">
        <f t="shared" si="5"/>
        <v>0.8344827586</v>
      </c>
      <c r="AD167" s="18" t="str">
        <f t="shared" si="10"/>
        <v>1.5</v>
      </c>
      <c r="AE167" s="17" t="str">
        <f t="shared" si="6"/>
        <v>0.6276807197</v>
      </c>
      <c r="AF167" s="17" t="str">
        <f t="shared" si="11"/>
        <v>1.5</v>
      </c>
      <c r="AG167" s="17" t="s">
        <v>30</v>
      </c>
      <c r="AH167" s="17" t="str">
        <f t="shared" si="68"/>
        <v>Arching</v>
      </c>
      <c r="AI167" s="17" t="str">
        <f t="shared" si="16"/>
        <v>Arching</v>
      </c>
      <c r="AJ167" s="17" t="str">
        <f t="shared" si="7"/>
        <v>Thermal Decomposition,corona </v>
      </c>
    </row>
    <row r="168" ht="12.75" customHeight="1">
      <c r="A168" s="11">
        <v>166.0</v>
      </c>
      <c r="B168" s="22" t="s">
        <v>191</v>
      </c>
      <c r="C168" s="22" t="s">
        <v>82</v>
      </c>
      <c r="D168" s="22" t="s">
        <v>193</v>
      </c>
      <c r="E168" s="22" t="s">
        <v>191</v>
      </c>
      <c r="F168" s="22" t="s">
        <v>191</v>
      </c>
      <c r="G168" s="19">
        <v>8.2</v>
      </c>
      <c r="H168" s="16">
        <v>20.827999999999996</v>
      </c>
      <c r="I168" s="16">
        <v>16161.789999999997</v>
      </c>
      <c r="J168" s="16">
        <v>62867.513999999996</v>
      </c>
      <c r="K168" s="16">
        <v>152.356</v>
      </c>
      <c r="L168" s="16">
        <v>1714.7019999999998</v>
      </c>
      <c r="M168" s="16">
        <v>11.315999999999999</v>
      </c>
      <c r="N168" s="16">
        <v>3.935999999999999</v>
      </c>
      <c r="O168" s="16">
        <v>10.085999999999999</v>
      </c>
      <c r="P168" s="16">
        <v>12.0</v>
      </c>
      <c r="Q168" s="17" t="str">
        <f t="shared" si="1"/>
        <v>1.189767995</v>
      </c>
      <c r="R168" s="17" t="str">
        <f t="shared" si="2"/>
        <v>0.5433070866</v>
      </c>
      <c r="S168" s="17" t="str">
        <f t="shared" si="8"/>
        <v>2.5625</v>
      </c>
      <c r="T168" s="17" t="s">
        <v>30</v>
      </c>
      <c r="U168" s="17" t="s">
        <v>31</v>
      </c>
      <c r="V168" s="17" t="s">
        <v>37</v>
      </c>
      <c r="W168" s="17" t="str">
        <f t="shared" si="3"/>
        <v>1.189767995</v>
      </c>
      <c r="X168" s="17" t="str">
        <f t="shared" si="33"/>
        <v>0.5433070866</v>
      </c>
      <c r="Y168" s="17" t="str">
        <f t="shared" si="9"/>
        <v>2.5625</v>
      </c>
      <c r="Z168" s="17" t="str">
        <f t="shared" si="147"/>
        <v>Discharge of Low Energy,  </v>
      </c>
      <c r="AA168" s="17" t="s">
        <v>34</v>
      </c>
      <c r="AB168" s="17" t="str">
        <f t="shared" ref="AB168:AB171" si="149">IF(Y168&lt;0.2,"Partial Discharges, ",IF(Y168&gt;1,"Thermal  Fault  &gt;700 c"))</f>
        <v>Thermal  Fault  &gt;700 c</v>
      </c>
      <c r="AC168" s="17" t="str">
        <f t="shared" si="5"/>
        <v>0.5433070866</v>
      </c>
      <c r="AD168" s="18" t="str">
        <f t="shared" si="10"/>
        <v>1.189767995</v>
      </c>
      <c r="AE168" s="17" t="str">
        <f t="shared" si="6"/>
        <v>1.060445387</v>
      </c>
      <c r="AF168" s="17" t="str">
        <f t="shared" si="11"/>
        <v>0.328</v>
      </c>
      <c r="AG168" s="17" t="s">
        <v>30</v>
      </c>
      <c r="AH168" s="17" t="str">
        <f t="shared" si="68"/>
        <v>Arching</v>
      </c>
      <c r="AI168" s="17" t="str">
        <f t="shared" si="16"/>
        <v>Arching</v>
      </c>
      <c r="AJ168" s="17" t="str">
        <f t="shared" si="7"/>
        <v>Arching</v>
      </c>
    </row>
    <row r="169" ht="12.75" customHeight="1">
      <c r="A169" s="11">
        <v>167.0</v>
      </c>
      <c r="B169" s="22" t="s">
        <v>191</v>
      </c>
      <c r="C169" s="22" t="s">
        <v>82</v>
      </c>
      <c r="D169" s="22" t="s">
        <v>193</v>
      </c>
      <c r="E169" s="22" t="s">
        <v>191</v>
      </c>
      <c r="F169" s="22" t="s">
        <v>191</v>
      </c>
      <c r="G169" s="19">
        <v>7.6</v>
      </c>
      <c r="H169" s="16">
        <v>10.563999999999998</v>
      </c>
      <c r="I169" s="16">
        <v>16010.16</v>
      </c>
      <c r="J169" s="16">
        <v>56431.596000000005</v>
      </c>
      <c r="K169" s="16">
        <v>217.056</v>
      </c>
      <c r="L169" s="16">
        <v>2891.9519999999998</v>
      </c>
      <c r="M169" s="16">
        <v>12.312</v>
      </c>
      <c r="N169" s="16">
        <v>2.052</v>
      </c>
      <c r="O169" s="16">
        <v>8.0</v>
      </c>
      <c r="P169" s="16">
        <v>777.0</v>
      </c>
      <c r="Q169" s="17" t="str">
        <f t="shared" si="1"/>
        <v>97.125</v>
      </c>
      <c r="R169" s="17" t="str">
        <f t="shared" si="2"/>
        <v>1.165467626</v>
      </c>
      <c r="S169" s="17" t="str">
        <f t="shared" si="8"/>
        <v>3.898635478</v>
      </c>
      <c r="T169" s="17" t="s">
        <v>30</v>
      </c>
      <c r="U169" s="17" t="str">
        <f>IF(R169&gt;1,"Thermal Fault &lt;700c, thermal fault &gt;700c ")</f>
        <v>Thermal Fault &lt;700c, thermal fault &gt;700c </v>
      </c>
      <c r="V169" s="17" t="str">
        <f t="shared" ref="V169:V174" si="150">IF(S169&lt;1,"Partial discharge, Normal ",IF(S169&gt;3,"Arching,Thermal  Fault &gt; 700 c"))</f>
        <v>Arching,Thermal  Fault &gt; 700 c</v>
      </c>
      <c r="W169" s="17" t="str">
        <f t="shared" si="3"/>
        <v>97.125</v>
      </c>
      <c r="X169" s="17" t="str">
        <f t="shared" si="33"/>
        <v>1.165467626</v>
      </c>
      <c r="Y169" s="17" t="str">
        <f t="shared" si="9"/>
        <v>3.898635478</v>
      </c>
      <c r="Z169" s="17" t="str">
        <f t="shared" si="147"/>
        <v>Discharge of Low Energy,  </v>
      </c>
      <c r="AA169" s="17" t="str">
        <f>IF(X169&lt;0.1,"Partial Discharges, ",IF(X169&gt;1,"Thermal  Fault &gt;300c and&lt;700 and &gt;700 c"))</f>
        <v>Thermal  Fault &gt;300c and&lt;700 and &gt;700 c</v>
      </c>
      <c r="AB169" s="17" t="str">
        <f t="shared" si="149"/>
        <v>Thermal  Fault  &gt;700 c</v>
      </c>
      <c r="AC169" s="17" t="str">
        <f t="shared" si="5"/>
        <v>1.165467626</v>
      </c>
      <c r="AD169" s="18" t="str">
        <f t="shared" si="10"/>
        <v>97.125</v>
      </c>
      <c r="AE169" s="17" t="str">
        <f t="shared" si="6"/>
        <v>63.10916179</v>
      </c>
      <c r="AF169" s="17" t="str">
        <f t="shared" si="11"/>
        <v>0.002640926641</v>
      </c>
      <c r="AG169" s="17" t="str">
        <f>IF(AC169&gt;1,"Thermal Decomposition, ",IF(AC169&lt;0.1,"Corona,Arching"))</f>
        <v>Thermal Decomposition, </v>
      </c>
      <c r="AH169" s="17" t="str">
        <f t="shared" si="68"/>
        <v>Arching</v>
      </c>
      <c r="AI169" s="17" t="str">
        <f t="shared" si="16"/>
        <v>Arching</v>
      </c>
      <c r="AJ169" s="17" t="str">
        <f t="shared" si="7"/>
        <v>Arching</v>
      </c>
    </row>
    <row r="170" ht="12.75" customHeight="1">
      <c r="A170" s="11">
        <v>168.0</v>
      </c>
      <c r="B170" s="14" t="s">
        <v>194</v>
      </c>
      <c r="C170" s="14" t="s">
        <v>40</v>
      </c>
      <c r="D170" s="14" t="s">
        <v>190</v>
      </c>
      <c r="E170" s="14" t="s">
        <v>93</v>
      </c>
      <c r="F170" s="14">
        <v>2006.0</v>
      </c>
      <c r="G170" s="19">
        <v>7.3</v>
      </c>
      <c r="H170" s="16">
        <v>220.38699999999997</v>
      </c>
      <c r="I170" s="16">
        <v>13321.332</v>
      </c>
      <c r="J170" s="16">
        <v>56336.071</v>
      </c>
      <c r="K170" s="16">
        <v>137.532</v>
      </c>
      <c r="L170" s="16">
        <v>1411.674</v>
      </c>
      <c r="M170" s="16">
        <v>106.50699999999999</v>
      </c>
      <c r="N170" s="16">
        <v>20.293999999999997</v>
      </c>
      <c r="O170" s="16">
        <v>129.794</v>
      </c>
      <c r="P170" s="16">
        <v>614.222</v>
      </c>
      <c r="Q170" s="17" t="str">
        <f t="shared" si="1"/>
        <v>4.732283465</v>
      </c>
      <c r="R170" s="17" t="str">
        <f t="shared" si="2"/>
        <v>0.4832726068</v>
      </c>
      <c r="S170" s="17" t="str">
        <f t="shared" si="8"/>
        <v>6.395683453</v>
      </c>
      <c r="T170" s="17" t="s">
        <v>30</v>
      </c>
      <c r="U170" s="17" t="s">
        <v>31</v>
      </c>
      <c r="V170" s="17" t="str">
        <f t="shared" si="150"/>
        <v>Arching,Thermal  Fault &gt; 700 c</v>
      </c>
      <c r="W170" s="17" t="str">
        <f t="shared" si="3"/>
        <v>4.732283465</v>
      </c>
      <c r="X170" s="17" t="str">
        <f t="shared" si="33"/>
        <v>0.4832726068</v>
      </c>
      <c r="Y170" s="17" t="str">
        <f t="shared" si="9"/>
        <v>6.395683453</v>
      </c>
      <c r="Z170" s="17" t="str">
        <f t="shared" si="147"/>
        <v>Discharge of Low Energy,  </v>
      </c>
      <c r="AA170" s="17" t="s">
        <v>34</v>
      </c>
      <c r="AB170" s="17" t="str">
        <f t="shared" si="149"/>
        <v>Thermal  Fault  &gt;700 c</v>
      </c>
      <c r="AC170" s="17" t="str">
        <f t="shared" si="5"/>
        <v>0.4832726068</v>
      </c>
      <c r="AD170" s="18" t="str">
        <f t="shared" si="10"/>
        <v>4.732283465</v>
      </c>
      <c r="AE170" s="17" t="str">
        <f t="shared" si="6"/>
        <v>5.766963674</v>
      </c>
      <c r="AF170" s="17" t="str">
        <f t="shared" si="11"/>
        <v>0.03304017114</v>
      </c>
      <c r="AG170" s="17" t="s">
        <v>30</v>
      </c>
      <c r="AH170" s="17" t="str">
        <f t="shared" si="68"/>
        <v>Arching</v>
      </c>
      <c r="AI170" s="17" t="str">
        <f t="shared" si="16"/>
        <v>Arching</v>
      </c>
      <c r="AJ170" s="17" t="str">
        <f t="shared" si="7"/>
        <v>Arching</v>
      </c>
    </row>
    <row r="171" ht="12.75" customHeight="1">
      <c r="A171" s="11">
        <v>169.0</v>
      </c>
      <c r="B171" s="14" t="s">
        <v>194</v>
      </c>
      <c r="C171" s="14" t="s">
        <v>40</v>
      </c>
      <c r="D171" s="14" t="s">
        <v>190</v>
      </c>
      <c r="E171" s="14" t="s">
        <v>93</v>
      </c>
      <c r="F171" s="14">
        <v>2006.0</v>
      </c>
      <c r="G171" s="19">
        <v>8.5</v>
      </c>
      <c r="H171" s="16">
        <v>70.465</v>
      </c>
      <c r="I171" s="16">
        <v>16554.43</v>
      </c>
      <c r="J171" s="16">
        <v>65577.755</v>
      </c>
      <c r="K171" s="16">
        <v>83.72500000000001</v>
      </c>
      <c r="L171" s="16">
        <v>968.6600000000001</v>
      </c>
      <c r="M171" s="16">
        <v>31.279999999999998</v>
      </c>
      <c r="N171" s="16">
        <v>4.505</v>
      </c>
      <c r="O171" s="16">
        <v>121.635</v>
      </c>
      <c r="P171" s="16">
        <v>826.7100000000002</v>
      </c>
      <c r="Q171" s="17" t="str">
        <f t="shared" si="1"/>
        <v>6.796645702</v>
      </c>
      <c r="R171" s="17" t="str">
        <f t="shared" si="2"/>
        <v>0.4439083233</v>
      </c>
      <c r="S171" s="17" t="str">
        <f t="shared" si="8"/>
        <v>27</v>
      </c>
      <c r="T171" s="17" t="s">
        <v>30</v>
      </c>
      <c r="U171" s="17" t="s">
        <v>31</v>
      </c>
      <c r="V171" s="17" t="str">
        <f t="shared" si="150"/>
        <v>Arching,Thermal  Fault &gt; 700 c</v>
      </c>
      <c r="W171" s="17" t="str">
        <f t="shared" si="3"/>
        <v>6.796645702</v>
      </c>
      <c r="X171" s="17" t="str">
        <f t="shared" si="33"/>
        <v>0.4439083233</v>
      </c>
      <c r="Y171" s="17" t="str">
        <f t="shared" si="9"/>
        <v>27</v>
      </c>
      <c r="Z171" s="17" t="str">
        <f t="shared" si="147"/>
        <v>Discharge of Low Energy,  </v>
      </c>
      <c r="AA171" s="17" t="s">
        <v>34</v>
      </c>
      <c r="AB171" s="17" t="str">
        <f t="shared" si="149"/>
        <v>Thermal  Fault  &gt;700 c</v>
      </c>
      <c r="AC171" s="17" t="str">
        <f t="shared" si="5"/>
        <v>0.4439083233</v>
      </c>
      <c r="AD171" s="18" t="str">
        <f t="shared" si="10"/>
        <v>6.796645702</v>
      </c>
      <c r="AE171" s="17" t="str">
        <f t="shared" si="6"/>
        <v>26.42934783</v>
      </c>
      <c r="AF171" s="17" t="str">
        <f t="shared" si="11"/>
        <v>0.005449311125</v>
      </c>
      <c r="AG171" s="17" t="s">
        <v>30</v>
      </c>
      <c r="AH171" s="17" t="str">
        <f t="shared" si="68"/>
        <v>Arching</v>
      </c>
      <c r="AI171" s="17" t="str">
        <f t="shared" si="16"/>
        <v>Arching</v>
      </c>
      <c r="AJ171" s="17" t="str">
        <f t="shared" si="7"/>
        <v>Arching</v>
      </c>
    </row>
    <row r="172" ht="12.75" customHeight="1">
      <c r="A172" s="11">
        <v>170.0</v>
      </c>
      <c r="B172" s="19">
        <v>2044052.0</v>
      </c>
      <c r="C172" s="19" t="s">
        <v>195</v>
      </c>
      <c r="D172" s="17" t="s">
        <v>129</v>
      </c>
      <c r="E172" s="19" t="s">
        <v>91</v>
      </c>
      <c r="F172" s="17">
        <v>2018.0</v>
      </c>
      <c r="G172" s="17">
        <v>7.5</v>
      </c>
      <c r="H172" s="16">
        <v>8.4</v>
      </c>
      <c r="I172" s="16">
        <v>13868.775000000001</v>
      </c>
      <c r="J172" s="16">
        <v>59577.225</v>
      </c>
      <c r="K172" s="16">
        <v>96.6</v>
      </c>
      <c r="L172" s="16">
        <v>1034.475</v>
      </c>
      <c r="M172" s="16">
        <v>9.0</v>
      </c>
      <c r="N172" s="16">
        <v>6.0</v>
      </c>
      <c r="O172" s="16">
        <v>4.0</v>
      </c>
      <c r="P172" s="16">
        <v>7.0</v>
      </c>
      <c r="Q172" s="17" t="str">
        <f t="shared" si="1"/>
        <v>1.75</v>
      </c>
      <c r="R172" s="17" t="str">
        <f t="shared" si="2"/>
        <v>1.071428571</v>
      </c>
      <c r="S172" s="17" t="str">
        <f t="shared" si="8"/>
        <v>0.6666666667</v>
      </c>
      <c r="T172" s="17" t="s">
        <v>30</v>
      </c>
      <c r="U172" s="17" t="str">
        <f>IF(R172&lt;0.1, "Partial discharge", "Low temperature thermal ")</f>
        <v>Low temperature thermal </v>
      </c>
      <c r="V172" s="17" t="str">
        <f t="shared" si="150"/>
        <v>Partial discharge, Normal </v>
      </c>
      <c r="W172" s="17" t="str">
        <f t="shared" si="3"/>
        <v>1.75</v>
      </c>
      <c r="X172" s="17" t="str">
        <f t="shared" si="33"/>
        <v>1.071428571</v>
      </c>
      <c r="Y172" s="17" t="str">
        <f t="shared" si="9"/>
        <v>0.6666666667</v>
      </c>
      <c r="Z172" s="17" t="str">
        <f t="shared" si="147"/>
        <v>Discharge of Low Energy,  </v>
      </c>
      <c r="AA172" s="17" t="str">
        <f>IF(X172&lt;0.1,"Partial Discharges, ",IF(X172&gt;1,"Thermal  Fault &gt;300c and&lt;700 and &gt;700 c"))</f>
        <v>Thermal  Fault &gt;300c and&lt;700 and &gt;700 c</v>
      </c>
      <c r="AB172" s="17" t="s">
        <v>107</v>
      </c>
      <c r="AC172" s="17" t="str">
        <f t="shared" si="5"/>
        <v>1.071428571</v>
      </c>
      <c r="AD172" s="18" t="str">
        <f t="shared" si="10"/>
        <v>1.75</v>
      </c>
      <c r="AE172" s="17" t="str">
        <f t="shared" si="6"/>
        <v>0.7777777778</v>
      </c>
      <c r="AF172" s="17" t="str">
        <f t="shared" si="11"/>
        <v>0.8571428571</v>
      </c>
      <c r="AG172" s="17" t="str">
        <f>IF(AC172&gt;1,"Thermal Decomposition, ",IF(AC172&lt;0.1,"Corona,Arching"))</f>
        <v>Thermal Decomposition, </v>
      </c>
      <c r="AH172" s="17" t="str">
        <f t="shared" si="68"/>
        <v>Arching</v>
      </c>
      <c r="AI172" s="17" t="str">
        <f t="shared" si="16"/>
        <v>Arching</v>
      </c>
      <c r="AJ172" s="17" t="str">
        <f t="shared" si="7"/>
        <v>Thermal Decomposition,corona </v>
      </c>
    </row>
    <row r="173" ht="12.75" customHeight="1">
      <c r="A173" s="11">
        <v>171.0</v>
      </c>
      <c r="B173" s="19">
        <v>2044052.0</v>
      </c>
      <c r="C173" s="19" t="s">
        <v>195</v>
      </c>
      <c r="D173" s="17" t="s">
        <v>129</v>
      </c>
      <c r="E173" s="19" t="s">
        <v>91</v>
      </c>
      <c r="F173" s="17">
        <v>2018.0</v>
      </c>
      <c r="G173" s="17">
        <v>7.5</v>
      </c>
      <c r="H173" s="16">
        <v>11.925</v>
      </c>
      <c r="I173" s="16">
        <v>13730.625</v>
      </c>
      <c r="J173" s="16">
        <v>59645.475</v>
      </c>
      <c r="K173" s="16">
        <v>116.775</v>
      </c>
      <c r="L173" s="16">
        <v>1047.45</v>
      </c>
      <c r="M173" s="16">
        <v>2.85</v>
      </c>
      <c r="N173" s="16">
        <v>7.0</v>
      </c>
      <c r="O173" s="16">
        <v>5.0</v>
      </c>
      <c r="P173" s="16">
        <v>7.0</v>
      </c>
      <c r="Q173" s="17" t="str">
        <f t="shared" si="1"/>
        <v>1.4</v>
      </c>
      <c r="R173" s="17" t="str">
        <f t="shared" si="2"/>
        <v>0.2389937107</v>
      </c>
      <c r="S173" s="17" t="str">
        <f t="shared" si="8"/>
        <v>0.7142857143</v>
      </c>
      <c r="T173" s="17" t="s">
        <v>30</v>
      </c>
      <c r="U173" s="17" t="s">
        <v>31</v>
      </c>
      <c r="V173" s="17" t="str">
        <f t="shared" si="150"/>
        <v>Partial discharge, Normal </v>
      </c>
      <c r="W173" s="17" t="str">
        <f t="shared" si="3"/>
        <v>1.4</v>
      </c>
      <c r="X173" s="17" t="str">
        <f t="shared" si="33"/>
        <v>0.2389937107</v>
      </c>
      <c r="Y173" s="17" t="str">
        <f t="shared" si="9"/>
        <v>0.7142857143</v>
      </c>
      <c r="Z173" s="17" t="str">
        <f t="shared" si="147"/>
        <v>Discharge of Low Energy,  </v>
      </c>
      <c r="AA173" s="17" t="s">
        <v>34</v>
      </c>
      <c r="AB173" s="17" t="s">
        <v>107</v>
      </c>
      <c r="AC173" s="17" t="str">
        <f t="shared" si="5"/>
        <v>0.2389937107</v>
      </c>
      <c r="AD173" s="18" t="str">
        <f t="shared" si="10"/>
        <v>1.4</v>
      </c>
      <c r="AE173" s="17" t="str">
        <f t="shared" si="6"/>
        <v>2.456140351</v>
      </c>
      <c r="AF173" s="17" t="str">
        <f t="shared" si="11"/>
        <v>1</v>
      </c>
      <c r="AG173" s="17" t="s">
        <v>30</v>
      </c>
      <c r="AH173" s="17" t="str">
        <f t="shared" si="68"/>
        <v>Arching</v>
      </c>
      <c r="AI173" s="17" t="str">
        <f t="shared" si="16"/>
        <v>Arching</v>
      </c>
      <c r="AJ173" s="17" t="str">
        <f t="shared" si="7"/>
        <v>Thermal Decomposition,corona </v>
      </c>
    </row>
    <row r="174" ht="12.75" customHeight="1">
      <c r="A174" s="11">
        <v>172.0</v>
      </c>
      <c r="B174" s="19">
        <v>2044052.0</v>
      </c>
      <c r="C174" s="19" t="s">
        <v>195</v>
      </c>
      <c r="D174" s="17" t="s">
        <v>129</v>
      </c>
      <c r="E174" s="19" t="s">
        <v>91</v>
      </c>
      <c r="F174" s="17">
        <v>2018.0</v>
      </c>
      <c r="G174" s="17">
        <v>7.8</v>
      </c>
      <c r="H174" s="16">
        <v>0.7799999999999999</v>
      </c>
      <c r="I174" s="16">
        <v>17048.381999999998</v>
      </c>
      <c r="J174" s="16">
        <v>59947.13399999999</v>
      </c>
      <c r="K174" s="16">
        <v>66.69</v>
      </c>
      <c r="L174" s="16">
        <v>544.986</v>
      </c>
      <c r="M174" s="16">
        <v>6.0</v>
      </c>
      <c r="N174" s="16">
        <v>8.0</v>
      </c>
      <c r="O174" s="16">
        <v>6.0</v>
      </c>
      <c r="P174" s="16">
        <v>8.0</v>
      </c>
      <c r="Q174" s="17" t="str">
        <f t="shared" si="1"/>
        <v>1.333333333</v>
      </c>
      <c r="R174" s="17" t="str">
        <f t="shared" si="2"/>
        <v>7.692307692</v>
      </c>
      <c r="S174" s="17" t="str">
        <f t="shared" si="8"/>
        <v>0.75</v>
      </c>
      <c r="T174" s="17" t="s">
        <v>30</v>
      </c>
      <c r="U174" s="17" t="str">
        <f t="shared" ref="U174:U175" si="151">IF(R174&lt;0.1, "Partial discharge", "Low temperature thermal ")</f>
        <v>Low temperature thermal </v>
      </c>
      <c r="V174" s="17" t="str">
        <f t="shared" si="150"/>
        <v>Partial discharge, Normal </v>
      </c>
      <c r="W174" s="17" t="str">
        <f t="shared" si="3"/>
        <v>1.333333333</v>
      </c>
      <c r="X174" s="17" t="str">
        <f t="shared" si="33"/>
        <v>7.692307692</v>
      </c>
      <c r="Y174" s="17" t="str">
        <f t="shared" si="9"/>
        <v>0.75</v>
      </c>
      <c r="Z174" s="17" t="str">
        <f t="shared" si="147"/>
        <v>Discharge of Low Energy,  </v>
      </c>
      <c r="AA174" s="17" t="str">
        <f t="shared" ref="AA174:AA175" si="152">IF(X174&lt;0.1,"Partial Discharges, ",IF(X174&gt;1,"Thermal  Fault &gt;300c and&lt;700 and &gt;700 c"))</f>
        <v>Thermal  Fault &gt;300c and&lt;700 and &gt;700 c</v>
      </c>
      <c r="AB174" s="17" t="s">
        <v>107</v>
      </c>
      <c r="AC174" s="17" t="str">
        <f t="shared" si="5"/>
        <v>7.692307692</v>
      </c>
      <c r="AD174" s="18" t="str">
        <f t="shared" si="10"/>
        <v>1.333333333</v>
      </c>
      <c r="AE174" s="17" t="str">
        <f t="shared" si="6"/>
        <v>1.333333333</v>
      </c>
      <c r="AF174" s="17" t="str">
        <f t="shared" si="11"/>
        <v>1</v>
      </c>
      <c r="AG174" s="17" t="str">
        <f t="shared" ref="AG174:AG175" si="153">IF(AC174&gt;1,"Thermal Decomposition, ",IF(AC174&lt;0.1,"Corona,Arching"))</f>
        <v>Thermal Decomposition, </v>
      </c>
      <c r="AH174" s="17" t="str">
        <f t="shared" si="68"/>
        <v>Arching</v>
      </c>
      <c r="AI174" s="17" t="str">
        <f t="shared" si="16"/>
        <v>Arching</v>
      </c>
      <c r="AJ174" s="17" t="str">
        <f t="shared" si="7"/>
        <v>Thermal Decomposition,corona </v>
      </c>
    </row>
    <row r="175" ht="12.75" customHeight="1">
      <c r="A175" s="11">
        <v>173.0</v>
      </c>
      <c r="B175" s="19">
        <v>2044052.0</v>
      </c>
      <c r="C175" s="19" t="s">
        <v>195</v>
      </c>
      <c r="D175" s="17" t="s">
        <v>129</v>
      </c>
      <c r="E175" s="19" t="s">
        <v>91</v>
      </c>
      <c r="F175" s="17">
        <v>2018.0</v>
      </c>
      <c r="G175" s="17">
        <v>7.6</v>
      </c>
      <c r="H175" s="16">
        <v>0.76</v>
      </c>
      <c r="I175" s="16">
        <v>15901.784000000001</v>
      </c>
      <c r="J175" s="16">
        <v>58674.66</v>
      </c>
      <c r="K175" s="16">
        <v>57.98800000000001</v>
      </c>
      <c r="L175" s="16">
        <v>530.556</v>
      </c>
      <c r="M175" s="16">
        <v>9.0</v>
      </c>
      <c r="N175" s="16">
        <v>6.0</v>
      </c>
      <c r="O175" s="16">
        <v>7.0</v>
      </c>
      <c r="P175" s="16">
        <v>5.0</v>
      </c>
      <c r="Q175" s="17" t="str">
        <f t="shared" si="1"/>
        <v>0.7142857143</v>
      </c>
      <c r="R175" s="17" t="str">
        <f t="shared" si="2"/>
        <v>11.84210526</v>
      </c>
      <c r="S175" s="17" t="str">
        <f t="shared" si="8"/>
        <v>1.166666667</v>
      </c>
      <c r="T175" s="17" t="str">
        <f>IF(Q175&lt;1,"Partial discharge,Low Temprature thermal fault,")</f>
        <v>Partial discharge,Low Temprature thermal fault,</v>
      </c>
      <c r="U175" s="17" t="str">
        <f t="shared" si="151"/>
        <v>Low temperature thermal </v>
      </c>
      <c r="V175" s="17" t="s">
        <v>37</v>
      </c>
      <c r="W175" s="17" t="str">
        <f t="shared" si="3"/>
        <v>0.7142857143</v>
      </c>
      <c r="X175" s="17" t="str">
        <f t="shared" si="33"/>
        <v>11.84210526</v>
      </c>
      <c r="Y175" s="17" t="str">
        <f t="shared" si="9"/>
        <v>1.166666667</v>
      </c>
      <c r="Z175" s="17" t="s">
        <v>34</v>
      </c>
      <c r="AA175" s="17" t="str">
        <f t="shared" si="152"/>
        <v>Thermal  Fault &gt;300c and&lt;700 and &gt;700 c</v>
      </c>
      <c r="AB175" s="17" t="str">
        <f t="shared" ref="AB175:AB182" si="154">IF(Y175&lt;0.2,"Partial Discharges, ",IF(Y175&gt;1,"Thermal  Fault  &gt;700 c"))</f>
        <v>Thermal  Fault  &gt;700 c</v>
      </c>
      <c r="AC175" s="17" t="str">
        <f t="shared" si="5"/>
        <v>11.84210526</v>
      </c>
      <c r="AD175" s="18" t="str">
        <f t="shared" si="10"/>
        <v>0.7142857143</v>
      </c>
      <c r="AE175" s="17" t="str">
        <f t="shared" si="6"/>
        <v>0.5555555556</v>
      </c>
      <c r="AF175" s="17" t="str">
        <f t="shared" si="11"/>
        <v>1.2</v>
      </c>
      <c r="AG175" s="17" t="str">
        <f t="shared" si="153"/>
        <v>Thermal Decomposition, </v>
      </c>
      <c r="AH175" s="17" t="str">
        <f t="shared" si="68"/>
        <v>Thermal Decomposition, </v>
      </c>
      <c r="AI175" s="17" t="str">
        <f t="shared" si="16"/>
        <v>Arching</v>
      </c>
      <c r="AJ175" s="17" t="str">
        <f t="shared" si="7"/>
        <v>Thermal Decomposition,corona </v>
      </c>
    </row>
    <row r="176" ht="12.75" customHeight="1">
      <c r="A176" s="11">
        <v>174.0</v>
      </c>
      <c r="B176" s="19">
        <v>2044053.0</v>
      </c>
      <c r="C176" s="19" t="s">
        <v>195</v>
      </c>
      <c r="D176" s="17" t="s">
        <v>129</v>
      </c>
      <c r="E176" s="19" t="s">
        <v>91</v>
      </c>
      <c r="F176" s="17">
        <v>2017.0</v>
      </c>
      <c r="G176" s="17">
        <v>8.3</v>
      </c>
      <c r="H176" s="16">
        <v>13.695000000000002</v>
      </c>
      <c r="I176" s="16">
        <v>16630.295000000002</v>
      </c>
      <c r="J176" s="16">
        <v>64189.04600000001</v>
      </c>
      <c r="K176" s="16">
        <v>96.19700000000002</v>
      </c>
      <c r="L176" s="16">
        <v>1172.2920000000001</v>
      </c>
      <c r="M176" s="16">
        <v>4.648</v>
      </c>
      <c r="N176" s="17">
        <v>4.0</v>
      </c>
      <c r="O176" s="17">
        <v>8.0</v>
      </c>
      <c r="P176" s="16">
        <v>9.0</v>
      </c>
      <c r="Q176" s="17" t="str">
        <f t="shared" si="1"/>
        <v>1.125</v>
      </c>
      <c r="R176" s="17" t="str">
        <f t="shared" si="2"/>
        <v>0.3393939394</v>
      </c>
      <c r="S176" s="17" t="str">
        <f t="shared" si="8"/>
        <v>2</v>
      </c>
      <c r="T176" s="17" t="s">
        <v>30</v>
      </c>
      <c r="U176" s="17" t="s">
        <v>31</v>
      </c>
      <c r="V176" s="17" t="s">
        <v>37</v>
      </c>
      <c r="W176" s="17" t="str">
        <f t="shared" si="3"/>
        <v>1.125</v>
      </c>
      <c r="X176" s="17" t="str">
        <f t="shared" si="33"/>
        <v>0.3393939394</v>
      </c>
      <c r="Y176" s="17" t="str">
        <f t="shared" si="9"/>
        <v>2</v>
      </c>
      <c r="Z176" s="17" t="str">
        <f>IF(W176&gt;1,"Discharge of Low Energy,  ",IF(W176&lt;0.1,"Thermal  Fault&gt; 300c and&lt;700 c"))</f>
        <v>Discharge of Low Energy,  </v>
      </c>
      <c r="AA176" s="17" t="s">
        <v>34</v>
      </c>
      <c r="AB176" s="17" t="str">
        <f t="shared" si="154"/>
        <v>Thermal  Fault  &gt;700 c</v>
      </c>
      <c r="AC176" s="17" t="str">
        <f t="shared" si="5"/>
        <v>0.3393939394</v>
      </c>
      <c r="AD176" s="18" t="str">
        <f t="shared" si="10"/>
        <v>1.125</v>
      </c>
      <c r="AE176" s="17" t="str">
        <f t="shared" si="6"/>
        <v>1.936316695</v>
      </c>
      <c r="AF176" s="17" t="str">
        <f t="shared" si="11"/>
        <v>0.4444444444</v>
      </c>
      <c r="AG176" s="17" t="s">
        <v>30</v>
      </c>
      <c r="AH176" s="17" t="str">
        <f t="shared" si="68"/>
        <v>Arching</v>
      </c>
      <c r="AI176" s="17" t="str">
        <f t="shared" si="16"/>
        <v>Arching</v>
      </c>
      <c r="AJ176" s="17" t="str">
        <f t="shared" si="7"/>
        <v>Thermal Decomposition,corona </v>
      </c>
    </row>
    <row r="177" ht="12.75" customHeight="1">
      <c r="A177" s="11">
        <v>175.0</v>
      </c>
      <c r="B177" s="19">
        <v>2044053.0</v>
      </c>
      <c r="C177" s="19" t="s">
        <v>195</v>
      </c>
      <c r="D177" s="17" t="s">
        <v>129</v>
      </c>
      <c r="E177" s="19" t="s">
        <v>91</v>
      </c>
      <c r="F177" s="17">
        <v>2017.0</v>
      </c>
      <c r="G177" s="17">
        <v>7.9</v>
      </c>
      <c r="H177" s="16">
        <v>40.685</v>
      </c>
      <c r="I177" s="16">
        <v>14924.522</v>
      </c>
      <c r="J177" s="16">
        <v>61763.543000000005</v>
      </c>
      <c r="K177" s="16">
        <v>173.642</v>
      </c>
      <c r="L177" s="16">
        <v>1644.0690000000004</v>
      </c>
      <c r="M177" s="16">
        <v>7.583999999999999</v>
      </c>
      <c r="N177" s="17">
        <v>6.0</v>
      </c>
      <c r="O177" s="17">
        <v>9.0</v>
      </c>
      <c r="P177" s="16">
        <v>7.0</v>
      </c>
      <c r="Q177" s="17" t="str">
        <f t="shared" si="1"/>
        <v>0.7777777778</v>
      </c>
      <c r="R177" s="17" t="str">
        <f t="shared" si="2"/>
        <v>0.186407767</v>
      </c>
      <c r="S177" s="17" t="str">
        <f t="shared" si="8"/>
        <v>1.5</v>
      </c>
      <c r="T177" s="17" t="str">
        <f t="shared" ref="T177:T178" si="155">IF(Q177&lt;1,"Partial discharge,Low Temprature thermal fault,")</f>
        <v>Partial discharge,Low Temprature thermal fault,</v>
      </c>
      <c r="U177" s="17" t="s">
        <v>31</v>
      </c>
      <c r="V177" s="17" t="s">
        <v>37</v>
      </c>
      <c r="W177" s="17" t="str">
        <f t="shared" si="3"/>
        <v>0.7777777778</v>
      </c>
      <c r="X177" s="17" t="str">
        <f t="shared" si="33"/>
        <v>0.186407767</v>
      </c>
      <c r="Y177" s="17" t="str">
        <f t="shared" si="9"/>
        <v>1.5</v>
      </c>
      <c r="Z177" s="17" t="s">
        <v>34</v>
      </c>
      <c r="AA177" s="17" t="s">
        <v>34</v>
      </c>
      <c r="AB177" s="17" t="str">
        <f t="shared" si="154"/>
        <v>Thermal  Fault  &gt;700 c</v>
      </c>
      <c r="AC177" s="17" t="str">
        <f t="shared" si="5"/>
        <v>0.186407767</v>
      </c>
      <c r="AD177" s="18" t="str">
        <f t="shared" si="10"/>
        <v>0.7777777778</v>
      </c>
      <c r="AE177" s="17" t="str">
        <f t="shared" si="6"/>
        <v>0.9229957806</v>
      </c>
      <c r="AF177" s="17" t="str">
        <f t="shared" si="11"/>
        <v>0.8571428571</v>
      </c>
      <c r="AG177" s="17" t="s">
        <v>30</v>
      </c>
      <c r="AH177" s="17" t="str">
        <f t="shared" si="68"/>
        <v>Arching</v>
      </c>
      <c r="AI177" s="17" t="str">
        <f t="shared" si="16"/>
        <v>Arching</v>
      </c>
      <c r="AJ177" s="17" t="str">
        <f t="shared" si="7"/>
        <v>Thermal Decomposition,corona </v>
      </c>
    </row>
    <row r="178" ht="12.75" customHeight="1">
      <c r="A178" s="11">
        <v>176.0</v>
      </c>
      <c r="B178" s="19">
        <v>2044053.0</v>
      </c>
      <c r="C178" s="19" t="s">
        <v>195</v>
      </c>
      <c r="D178" s="17" t="s">
        <v>129</v>
      </c>
      <c r="E178" s="19" t="s">
        <v>91</v>
      </c>
      <c r="F178" s="17">
        <v>2017.0</v>
      </c>
      <c r="G178" s="17">
        <v>8.2</v>
      </c>
      <c r="H178" s="16">
        <v>44.936</v>
      </c>
      <c r="I178" s="16">
        <v>16620.252</v>
      </c>
      <c r="J178" s="16">
        <v>62920.322</v>
      </c>
      <c r="K178" s="16">
        <v>181.62999999999997</v>
      </c>
      <c r="L178" s="16">
        <v>1723.722</v>
      </c>
      <c r="M178" s="16">
        <v>5.329999999999999</v>
      </c>
      <c r="N178" s="16">
        <v>3.935999999999999</v>
      </c>
      <c r="O178" s="17">
        <v>5.0</v>
      </c>
      <c r="P178" s="16">
        <v>4.0</v>
      </c>
      <c r="Q178" s="17" t="str">
        <f t="shared" si="1"/>
        <v>0.8</v>
      </c>
      <c r="R178" s="17" t="str">
        <f t="shared" si="2"/>
        <v>0.1186131387</v>
      </c>
      <c r="S178" s="17" t="str">
        <f t="shared" si="8"/>
        <v>1.270325203</v>
      </c>
      <c r="T178" s="17" t="str">
        <f t="shared" si="155"/>
        <v>Partial discharge,Low Temprature thermal fault,</v>
      </c>
      <c r="U178" s="17" t="s">
        <v>31</v>
      </c>
      <c r="V178" s="17" t="s">
        <v>37</v>
      </c>
      <c r="W178" s="17" t="str">
        <f t="shared" si="3"/>
        <v>0.8</v>
      </c>
      <c r="X178" s="17" t="str">
        <f t="shared" si="33"/>
        <v>0.1186131387</v>
      </c>
      <c r="Y178" s="17" t="str">
        <f t="shared" si="9"/>
        <v>1.270325203</v>
      </c>
      <c r="Z178" s="17" t="s">
        <v>34</v>
      </c>
      <c r="AA178" s="17" t="s">
        <v>34</v>
      </c>
      <c r="AB178" s="17" t="str">
        <f t="shared" si="154"/>
        <v>Thermal  Fault  &gt;700 c</v>
      </c>
      <c r="AC178" s="17" t="str">
        <f t="shared" si="5"/>
        <v>0.1186131387</v>
      </c>
      <c r="AD178" s="18" t="str">
        <f t="shared" si="10"/>
        <v>0.8</v>
      </c>
      <c r="AE178" s="17" t="str">
        <f t="shared" si="6"/>
        <v>0.7504690432</v>
      </c>
      <c r="AF178" s="17" t="str">
        <f t="shared" si="11"/>
        <v>0.984</v>
      </c>
      <c r="AG178" s="17" t="s">
        <v>30</v>
      </c>
      <c r="AH178" s="17" t="str">
        <f t="shared" si="68"/>
        <v>Arching</v>
      </c>
      <c r="AI178" s="17" t="str">
        <f t="shared" si="16"/>
        <v>Arching</v>
      </c>
      <c r="AJ178" s="17" t="str">
        <f t="shared" si="7"/>
        <v>Thermal Decomposition,corona </v>
      </c>
    </row>
    <row r="179" ht="12.75" customHeight="1">
      <c r="A179" s="11">
        <v>177.0</v>
      </c>
      <c r="B179" s="19">
        <v>2044053.0</v>
      </c>
      <c r="C179" s="19" t="s">
        <v>195</v>
      </c>
      <c r="D179" s="17" t="s">
        <v>129</v>
      </c>
      <c r="E179" s="19" t="s">
        <v>91</v>
      </c>
      <c r="F179" s="17">
        <v>2017.0</v>
      </c>
      <c r="G179" s="17">
        <v>8.3</v>
      </c>
      <c r="H179" s="16">
        <v>62.58200000000001</v>
      </c>
      <c r="I179" s="16">
        <v>16012.443000000001</v>
      </c>
      <c r="J179" s="16">
        <v>64309.147000000004</v>
      </c>
      <c r="K179" s="16">
        <v>224.847</v>
      </c>
      <c r="L179" s="16">
        <v>1955.6460000000002</v>
      </c>
      <c r="M179" s="16">
        <v>6.225</v>
      </c>
      <c r="N179" s="16">
        <v>5.3950000000000005</v>
      </c>
      <c r="O179" s="17">
        <v>6.0</v>
      </c>
      <c r="P179" s="16">
        <v>7.0</v>
      </c>
      <c r="Q179" s="17" t="str">
        <f t="shared" si="1"/>
        <v>1.166666667</v>
      </c>
      <c r="R179" s="17" t="str">
        <f t="shared" si="2"/>
        <v>0.09946949602</v>
      </c>
      <c r="S179" s="17" t="str">
        <f t="shared" si="8"/>
        <v>1.112140871</v>
      </c>
      <c r="T179" s="17" t="s">
        <v>30</v>
      </c>
      <c r="U179" s="17" t="s">
        <v>31</v>
      </c>
      <c r="V179" s="17" t="s">
        <v>37</v>
      </c>
      <c r="W179" s="17" t="str">
        <f t="shared" si="3"/>
        <v>1.166666667</v>
      </c>
      <c r="X179" s="17" t="str">
        <f t="shared" si="33"/>
        <v>0.09946949602</v>
      </c>
      <c r="Y179" s="17" t="str">
        <f t="shared" si="9"/>
        <v>1.112140871</v>
      </c>
      <c r="Z179" s="17" t="str">
        <f>IF(W179&gt;1,"Discharge of Low Energy,  ",IF(W179&lt;0.1,"Thermal  Fault&gt; 300c and&lt;700 c"))</f>
        <v>Discharge of Low Energy,  </v>
      </c>
      <c r="AA179" s="17" t="str">
        <f t="shared" ref="AA179:AA181" si="156">IF(X179&lt;0.1,"Partial Discharges, ",IF(X179&gt;1,"Thermal  Fault &gt;300c and&lt;700 and &gt;700 c"))</f>
        <v>Partial Discharges, </v>
      </c>
      <c r="AB179" s="17" t="str">
        <f t="shared" si="154"/>
        <v>Thermal  Fault  &gt;700 c</v>
      </c>
      <c r="AC179" s="17" t="str">
        <f t="shared" si="5"/>
        <v>0.09946949602</v>
      </c>
      <c r="AD179" s="18" t="str">
        <f t="shared" si="10"/>
        <v>1.166666667</v>
      </c>
      <c r="AE179" s="17" t="str">
        <f t="shared" si="6"/>
        <v>1.124497992</v>
      </c>
      <c r="AF179" s="17" t="str">
        <f t="shared" si="11"/>
        <v>0.7707142857</v>
      </c>
      <c r="AG179" s="17" t="str">
        <f t="shared" ref="AG179:AG181" si="157">IF(AC179&gt;1,"Thermal Decomposition, ",IF(AC179&lt;0.1,"Corona,Arching"))</f>
        <v>Corona,Arching</v>
      </c>
      <c r="AH179" s="17" t="str">
        <f t="shared" si="68"/>
        <v>Arching</v>
      </c>
      <c r="AI179" s="17" t="str">
        <f t="shared" si="16"/>
        <v>Arching</v>
      </c>
      <c r="AJ179" s="17" t="str">
        <f t="shared" si="7"/>
        <v>Thermal Decomposition,corona </v>
      </c>
    </row>
    <row r="180" ht="12.75" customHeight="1">
      <c r="A180" s="11">
        <v>178.0</v>
      </c>
      <c r="B180" s="13" t="s">
        <v>196</v>
      </c>
      <c r="C180" s="14" t="s">
        <v>197</v>
      </c>
      <c r="D180" s="14" t="s">
        <v>198</v>
      </c>
      <c r="E180" s="14" t="s">
        <v>106</v>
      </c>
      <c r="F180" s="14">
        <v>1994.0</v>
      </c>
      <c r="G180" s="17">
        <v>8.0</v>
      </c>
      <c r="H180" s="16">
        <v>42.64</v>
      </c>
      <c r="I180" s="16">
        <v>15244.32</v>
      </c>
      <c r="J180" s="16">
        <v>61478.4</v>
      </c>
      <c r="K180" s="16">
        <v>177.04</v>
      </c>
      <c r="L180" s="16">
        <v>1943.6</v>
      </c>
      <c r="M180" s="16">
        <v>96.08</v>
      </c>
      <c r="N180" s="16">
        <v>192.4</v>
      </c>
      <c r="O180" s="16">
        <v>7.920000000000001</v>
      </c>
      <c r="P180" s="16">
        <v>7.0</v>
      </c>
      <c r="Q180" s="17" t="str">
        <f t="shared" si="1"/>
        <v>0.8838383838</v>
      </c>
      <c r="R180" s="17" t="str">
        <f t="shared" si="2"/>
        <v>2.253283302</v>
      </c>
      <c r="S180" s="17" t="str">
        <f t="shared" si="8"/>
        <v>0.04116424116</v>
      </c>
      <c r="T180" s="17" t="str">
        <f t="shared" ref="T180:T182" si="158">IF(Q180&lt;1,"Partial discharge,Low Temprature thermal fault,")</f>
        <v>Partial discharge,Low Temprature thermal fault,</v>
      </c>
      <c r="U180" s="17" t="str">
        <f t="shared" ref="U180:U181" si="159">IF(R180&gt;1,"Thermal Fault &lt;700c, thermal fault &gt;700c ")</f>
        <v>Thermal Fault &lt;700c, thermal fault &gt;700c </v>
      </c>
      <c r="V180" s="17" t="str">
        <f t="shared" ref="V180:V181" si="160">IF(S180&lt;1,"Partial discharge, Normal ",IF(S180&gt;3,"Arching,Thermal  Fault &gt; 700 c"))</f>
        <v>Partial discharge, Normal </v>
      </c>
      <c r="W180" s="17" t="str">
        <f t="shared" si="3"/>
        <v>0.8838383838</v>
      </c>
      <c r="X180" s="17" t="str">
        <f t="shared" si="33"/>
        <v>2.253283302</v>
      </c>
      <c r="Y180" s="17" t="str">
        <f t="shared" si="9"/>
        <v>0.04116424116</v>
      </c>
      <c r="Z180" s="17" t="s">
        <v>34</v>
      </c>
      <c r="AA180" s="17" t="str">
        <f t="shared" si="156"/>
        <v>Thermal  Fault &gt;300c and&lt;700 and &gt;700 c</v>
      </c>
      <c r="AB180" s="17" t="str">
        <f t="shared" si="154"/>
        <v>Partial Discharges, </v>
      </c>
      <c r="AC180" s="17" t="str">
        <f t="shared" si="5"/>
        <v>2.253283302</v>
      </c>
      <c r="AD180" s="18" t="str">
        <f t="shared" si="10"/>
        <v>0.8838383838</v>
      </c>
      <c r="AE180" s="17" t="str">
        <f t="shared" si="6"/>
        <v>0.07285595337</v>
      </c>
      <c r="AF180" s="17" t="str">
        <f t="shared" si="11"/>
        <v>27.48571429</v>
      </c>
      <c r="AG180" s="17" t="str">
        <f t="shared" si="157"/>
        <v>Thermal Decomposition, </v>
      </c>
      <c r="AH180" s="17" t="str">
        <f t="shared" si="68"/>
        <v>Arching</v>
      </c>
      <c r="AI180" s="17" t="str">
        <f t="shared" si="16"/>
        <v>Thermal Decomposition,corona </v>
      </c>
      <c r="AJ180" s="17" t="str">
        <f t="shared" si="7"/>
        <v>Thermal Decomposition,corona </v>
      </c>
    </row>
    <row r="181" ht="12.75" customHeight="1">
      <c r="A181" s="11">
        <v>179.0</v>
      </c>
      <c r="B181" s="13" t="s">
        <v>199</v>
      </c>
      <c r="C181" s="14" t="s">
        <v>99</v>
      </c>
      <c r="D181" s="14" t="s">
        <v>187</v>
      </c>
      <c r="E181" s="13" t="s">
        <v>200</v>
      </c>
      <c r="F181" s="14">
        <v>2012.0</v>
      </c>
      <c r="G181" s="17">
        <v>8.2</v>
      </c>
      <c r="H181" s="16">
        <v>20.827999999999996</v>
      </c>
      <c r="I181" s="16">
        <v>15354.746</v>
      </c>
      <c r="J181" s="16">
        <v>62647.91799999999</v>
      </c>
      <c r="K181" s="16">
        <v>229.026</v>
      </c>
      <c r="L181" s="16">
        <v>2546.018</v>
      </c>
      <c r="M181" s="16">
        <v>150.224</v>
      </c>
      <c r="N181" s="16">
        <v>56.169999999999995</v>
      </c>
      <c r="O181" s="16">
        <v>209.51</v>
      </c>
      <c r="P181" s="16">
        <v>155.0</v>
      </c>
      <c r="Q181" s="17" t="str">
        <f t="shared" si="1"/>
        <v>0.7398214882</v>
      </c>
      <c r="R181" s="17" t="str">
        <f t="shared" si="2"/>
        <v>7.212598425</v>
      </c>
      <c r="S181" s="17" t="str">
        <f t="shared" si="8"/>
        <v>3.729927007</v>
      </c>
      <c r="T181" s="17" t="str">
        <f t="shared" si="158"/>
        <v>Partial discharge,Low Temprature thermal fault,</v>
      </c>
      <c r="U181" s="17" t="str">
        <f t="shared" si="159"/>
        <v>Thermal Fault &lt;700c, thermal fault &gt;700c </v>
      </c>
      <c r="V181" s="17" t="str">
        <f t="shared" si="160"/>
        <v>Arching,Thermal  Fault &gt; 700 c</v>
      </c>
      <c r="W181" s="17" t="str">
        <f t="shared" si="3"/>
        <v>0.7398214882</v>
      </c>
      <c r="X181" s="17" t="str">
        <f t="shared" si="33"/>
        <v>7.212598425</v>
      </c>
      <c r="Y181" s="17" t="str">
        <f t="shared" si="9"/>
        <v>3.729927007</v>
      </c>
      <c r="Z181" s="17" t="s">
        <v>34</v>
      </c>
      <c r="AA181" s="17" t="str">
        <f t="shared" si="156"/>
        <v>Thermal  Fault &gt;300c and&lt;700 and &gt;700 c</v>
      </c>
      <c r="AB181" s="17" t="str">
        <f t="shared" si="154"/>
        <v>Thermal  Fault  &gt;700 c</v>
      </c>
      <c r="AC181" s="17" t="str">
        <f t="shared" si="5"/>
        <v>7.212598425</v>
      </c>
      <c r="AD181" s="18" t="str">
        <f t="shared" si="10"/>
        <v>0.7398214882</v>
      </c>
      <c r="AE181" s="17" t="str">
        <f t="shared" si="6"/>
        <v>1.031792523</v>
      </c>
      <c r="AF181" s="17" t="str">
        <f t="shared" si="11"/>
        <v>0.3623870968</v>
      </c>
      <c r="AG181" s="17" t="str">
        <f t="shared" si="157"/>
        <v>Thermal Decomposition, </v>
      </c>
      <c r="AH181" s="17" t="str">
        <f t="shared" si="68"/>
        <v>Thermal Decomposition, </v>
      </c>
      <c r="AI181" s="17" t="str">
        <f t="shared" si="16"/>
        <v>Arching</v>
      </c>
      <c r="AJ181" s="17" t="str">
        <f t="shared" si="7"/>
        <v>Arching</v>
      </c>
    </row>
    <row r="182" ht="12.75" customHeight="1">
      <c r="A182" s="11">
        <v>180.0</v>
      </c>
      <c r="B182" s="17">
        <v>23170.0</v>
      </c>
      <c r="C182" s="17" t="s">
        <v>40</v>
      </c>
      <c r="D182" s="17" t="s">
        <v>190</v>
      </c>
      <c r="E182" s="17" t="s">
        <v>201</v>
      </c>
      <c r="F182" s="22" t="s">
        <v>67</v>
      </c>
      <c r="G182" s="17">
        <v>7.6</v>
      </c>
      <c r="H182" s="16">
        <v>12.843999999999998</v>
      </c>
      <c r="I182" s="16">
        <v>14590.023999999998</v>
      </c>
      <c r="J182" s="16">
        <v>58980.02799999999</v>
      </c>
      <c r="K182" s="16">
        <v>147.06</v>
      </c>
      <c r="L182" s="16">
        <v>1503.6599999999999</v>
      </c>
      <c r="M182" s="16">
        <v>9.0</v>
      </c>
      <c r="N182" s="16">
        <v>6.0</v>
      </c>
      <c r="O182" s="16">
        <v>8.0</v>
      </c>
      <c r="P182" s="16">
        <v>5.0</v>
      </c>
      <c r="Q182" s="17" t="str">
        <f t="shared" si="1"/>
        <v>0.625</v>
      </c>
      <c r="R182" s="17" t="str">
        <f t="shared" si="2"/>
        <v>0.7007162878</v>
      </c>
      <c r="S182" s="17" t="str">
        <f t="shared" si="8"/>
        <v>1.333333333</v>
      </c>
      <c r="T182" s="17" t="str">
        <f t="shared" si="158"/>
        <v>Partial discharge,Low Temprature thermal fault,</v>
      </c>
      <c r="U182" s="17" t="s">
        <v>31</v>
      </c>
      <c r="V182" s="17" t="s">
        <v>37</v>
      </c>
      <c r="W182" s="17" t="str">
        <f t="shared" si="3"/>
        <v>0.625</v>
      </c>
      <c r="X182" s="17" t="str">
        <f t="shared" si="33"/>
        <v>0.7007162878</v>
      </c>
      <c r="Y182" s="17" t="str">
        <f t="shared" si="9"/>
        <v>1.333333333</v>
      </c>
      <c r="Z182" s="17" t="s">
        <v>34</v>
      </c>
      <c r="AA182" s="17" t="s">
        <v>34</v>
      </c>
      <c r="AB182" s="17" t="str">
        <f t="shared" si="154"/>
        <v>Thermal  Fault  &gt;700 c</v>
      </c>
      <c r="AC182" s="17" t="str">
        <f t="shared" si="5"/>
        <v>0.7007162878</v>
      </c>
      <c r="AD182" s="18" t="str">
        <f t="shared" si="10"/>
        <v>0.625</v>
      </c>
      <c r="AE182" s="17" t="str">
        <f t="shared" si="6"/>
        <v>0.5555555556</v>
      </c>
      <c r="AF182" s="17" t="str">
        <f t="shared" si="11"/>
        <v>1.2</v>
      </c>
      <c r="AG182" s="17" t="s">
        <v>30</v>
      </c>
      <c r="AH182" s="17" t="str">
        <f t="shared" si="68"/>
        <v>Thermal Decomposition, </v>
      </c>
      <c r="AI182" s="17" t="str">
        <f t="shared" si="16"/>
        <v>Arching</v>
      </c>
      <c r="AJ182" s="17" t="str">
        <f t="shared" si="7"/>
        <v>Thermal Decomposition,corona </v>
      </c>
    </row>
    <row r="183" ht="12.75" customHeight="1">
      <c r="A183" s="11">
        <v>181.0</v>
      </c>
      <c r="B183" s="17" t="s">
        <v>202</v>
      </c>
      <c r="C183" s="17" t="s">
        <v>133</v>
      </c>
      <c r="D183" s="22" t="s">
        <v>67</v>
      </c>
      <c r="E183" s="17" t="s">
        <v>179</v>
      </c>
      <c r="F183" s="17">
        <v>2013.0</v>
      </c>
      <c r="G183" s="17">
        <v>8.1</v>
      </c>
      <c r="H183" s="16">
        <v>4.212</v>
      </c>
      <c r="I183" s="16">
        <v>16159.661999999997</v>
      </c>
      <c r="J183" s="16">
        <v>62126.109</v>
      </c>
      <c r="K183" s="16">
        <v>118.66499999999999</v>
      </c>
      <c r="L183" s="16">
        <v>1390.689</v>
      </c>
      <c r="M183" s="16">
        <v>2.5109999999999997</v>
      </c>
      <c r="N183" s="16">
        <v>9.0</v>
      </c>
      <c r="O183" s="16">
        <v>6.0</v>
      </c>
      <c r="P183" s="16">
        <v>9.0</v>
      </c>
      <c r="Q183" s="17" t="str">
        <f t="shared" si="1"/>
        <v>1.5</v>
      </c>
      <c r="R183" s="17" t="str">
        <f t="shared" si="2"/>
        <v>0.5961538462</v>
      </c>
      <c r="S183" s="17" t="str">
        <f t="shared" si="8"/>
        <v>0.6666666667</v>
      </c>
      <c r="T183" s="17" t="s">
        <v>30</v>
      </c>
      <c r="U183" s="17" t="s">
        <v>31</v>
      </c>
      <c r="V183" s="17" t="str">
        <f>IF(S183&lt;1,"Partial discharge, Normal ",IF(S183&gt;3,"Arching,Thermal  Fault &gt; 700 c"))</f>
        <v>Partial discharge, Normal </v>
      </c>
      <c r="W183" s="17" t="str">
        <f t="shared" si="3"/>
        <v>1.5</v>
      </c>
      <c r="X183" s="17" t="str">
        <f t="shared" si="33"/>
        <v>0.5961538462</v>
      </c>
      <c r="Y183" s="17" t="str">
        <f t="shared" si="9"/>
        <v>0.6666666667</v>
      </c>
      <c r="Z183" s="17" t="str">
        <f>IF(W183&gt;1,"Discharge of Low Energy,  ",IF(W183&lt;0.1,"Thermal  Fault&gt; 300c and&lt;700 c"))</f>
        <v>Discharge of Low Energy,  </v>
      </c>
      <c r="AA183" s="17" t="s">
        <v>34</v>
      </c>
      <c r="AB183" s="17" t="s">
        <v>107</v>
      </c>
      <c r="AC183" s="17" t="str">
        <f t="shared" si="5"/>
        <v>0.5961538462</v>
      </c>
      <c r="AD183" s="18" t="str">
        <f t="shared" si="10"/>
        <v>1.5</v>
      </c>
      <c r="AE183" s="17" t="str">
        <f t="shared" si="6"/>
        <v>3.584229391</v>
      </c>
      <c r="AF183" s="17" t="str">
        <f t="shared" si="11"/>
        <v>1</v>
      </c>
      <c r="AG183" s="17" t="s">
        <v>30</v>
      </c>
      <c r="AH183" s="17" t="str">
        <f t="shared" si="68"/>
        <v>Arching</v>
      </c>
      <c r="AI183" s="17" t="str">
        <f t="shared" si="16"/>
        <v>Arching</v>
      </c>
      <c r="AJ183" s="17" t="str">
        <f t="shared" si="7"/>
        <v>Thermal Decomposition,corona </v>
      </c>
    </row>
    <row r="184" ht="12.75" customHeight="1">
      <c r="A184" s="11">
        <v>182.0</v>
      </c>
      <c r="B184" s="13">
        <v>6.8080036E8</v>
      </c>
      <c r="C184" s="13" t="s">
        <v>203</v>
      </c>
      <c r="D184" s="14" t="s">
        <v>204</v>
      </c>
      <c r="E184" s="13" t="s">
        <v>93</v>
      </c>
      <c r="F184" s="14">
        <v>2008.0</v>
      </c>
      <c r="G184" s="14">
        <v>7.8</v>
      </c>
      <c r="H184" s="15">
        <v>12.09</v>
      </c>
      <c r="I184" s="15">
        <v>14453.634</v>
      </c>
      <c r="J184" s="15">
        <v>61692.15</v>
      </c>
      <c r="K184" s="15">
        <v>128.154</v>
      </c>
      <c r="L184" s="15">
        <v>1368.744</v>
      </c>
      <c r="M184" s="15">
        <v>0.9359999999999998</v>
      </c>
      <c r="N184" s="14">
        <v>5.0</v>
      </c>
      <c r="O184" s="14">
        <v>9.0</v>
      </c>
      <c r="P184" s="16">
        <v>7.0</v>
      </c>
      <c r="Q184" s="17" t="str">
        <f t="shared" si="1"/>
        <v>0.7777777778</v>
      </c>
      <c r="R184" s="17" t="str">
        <f t="shared" si="2"/>
        <v>0.07741935484</v>
      </c>
      <c r="S184" s="17" t="str">
        <f t="shared" si="8"/>
        <v>1.8</v>
      </c>
      <c r="T184" s="17" t="str">
        <f>IF(Q184&lt;1,"Partial discharge,Low Temprature thermal fault,")</f>
        <v>Partial discharge,Low Temprature thermal fault,</v>
      </c>
      <c r="U184" s="17" t="s">
        <v>31</v>
      </c>
      <c r="V184" s="17" t="s">
        <v>37</v>
      </c>
      <c r="W184" s="17" t="str">
        <f t="shared" si="3"/>
        <v>0.7777777778</v>
      </c>
      <c r="X184" s="17" t="str">
        <f t="shared" si="33"/>
        <v>0.07741935484</v>
      </c>
      <c r="Y184" s="17" t="str">
        <f t="shared" si="9"/>
        <v>1.8</v>
      </c>
      <c r="Z184" s="17" t="s">
        <v>34</v>
      </c>
      <c r="AA184" s="17" t="str">
        <f>IF(X184&lt;0.1,"Partial Discharges, ",IF(X184&gt;1,"Thermal  Fault &gt;300c and&lt;700 and &gt;700 c"))</f>
        <v>Partial Discharges, </v>
      </c>
      <c r="AB184" s="17" t="str">
        <f t="shared" ref="AB184:AB185" si="161">IF(Y184&lt;0.2,"Partial Discharges, ",IF(Y184&gt;1,"Thermal  Fault  &gt;700 c"))</f>
        <v>Thermal  Fault  &gt;700 c</v>
      </c>
      <c r="AC184" s="17" t="str">
        <f t="shared" si="5"/>
        <v>0.07741935484</v>
      </c>
      <c r="AD184" s="18" t="str">
        <f t="shared" si="10"/>
        <v>0.7777777778</v>
      </c>
      <c r="AE184" s="17" t="str">
        <f t="shared" si="6"/>
        <v>7.478632479</v>
      </c>
      <c r="AF184" s="17" t="str">
        <f t="shared" si="11"/>
        <v>0.7142857143</v>
      </c>
      <c r="AG184" s="17" t="str">
        <f>IF(AC184&gt;1,"Thermal Decomposition, ",IF(AC184&lt;0.1,"Corona,Arching"))</f>
        <v>Corona,Arching</v>
      </c>
      <c r="AH184" s="17" t="str">
        <f t="shared" si="68"/>
        <v>Arching</v>
      </c>
      <c r="AI184" s="17" t="str">
        <f t="shared" si="16"/>
        <v>Arching</v>
      </c>
      <c r="AJ184" s="17" t="str">
        <f t="shared" si="7"/>
        <v>Thermal Decomposition,corona </v>
      </c>
    </row>
    <row r="185" ht="12.75" customHeight="1">
      <c r="A185" s="11">
        <v>183.0</v>
      </c>
      <c r="B185" s="13">
        <v>1221636.0</v>
      </c>
      <c r="C185" s="13" t="s">
        <v>203</v>
      </c>
      <c r="D185" s="14" t="s">
        <v>204</v>
      </c>
      <c r="E185" s="13" t="s">
        <v>93</v>
      </c>
      <c r="F185" s="14">
        <v>2013.0</v>
      </c>
      <c r="G185" s="14">
        <v>8.0</v>
      </c>
      <c r="H185" s="15">
        <v>30.880000000000003</v>
      </c>
      <c r="I185" s="15">
        <v>15289.92</v>
      </c>
      <c r="J185" s="15">
        <v>63292.16</v>
      </c>
      <c r="K185" s="15">
        <v>52.400000000000006</v>
      </c>
      <c r="L185" s="15">
        <v>604.08</v>
      </c>
      <c r="M185" s="15">
        <v>28.48</v>
      </c>
      <c r="N185" s="15">
        <v>18.240000000000002</v>
      </c>
      <c r="O185" s="15">
        <v>71.92</v>
      </c>
      <c r="P185" s="16">
        <v>176.0</v>
      </c>
      <c r="Q185" s="17" t="str">
        <f t="shared" si="1"/>
        <v>2.447163515</v>
      </c>
      <c r="R185" s="17" t="str">
        <f t="shared" si="2"/>
        <v>0.9222797927</v>
      </c>
      <c r="S185" s="17" t="str">
        <f t="shared" si="8"/>
        <v>3.942982456</v>
      </c>
      <c r="T185" s="17" t="s">
        <v>30</v>
      </c>
      <c r="U185" s="17" t="s">
        <v>31</v>
      </c>
      <c r="V185" s="17" t="str">
        <f t="shared" ref="V185:V186" si="162">IF(S185&lt;1,"Partial discharge, Normal ",IF(S185&gt;3,"Arching,Thermal  Fault &gt; 700 c"))</f>
        <v>Arching,Thermal  Fault &gt; 700 c</v>
      </c>
      <c r="W185" s="17" t="str">
        <f t="shared" si="3"/>
        <v>2.447163515</v>
      </c>
      <c r="X185" s="17" t="str">
        <f t="shared" si="33"/>
        <v>0.9222797927</v>
      </c>
      <c r="Y185" s="17" t="str">
        <f t="shared" si="9"/>
        <v>3.942982456</v>
      </c>
      <c r="Z185" s="17" t="str">
        <f>IF(W185&gt;1,"Discharge of Low Energy,  ",IF(W185&lt;0.1,"Thermal  Fault&gt; 300c and&lt;700 c"))</f>
        <v>Discharge of Low Energy,  </v>
      </c>
      <c r="AA185" s="17" t="s">
        <v>34</v>
      </c>
      <c r="AB185" s="17" t="str">
        <f t="shared" si="161"/>
        <v>Thermal  Fault  &gt;700 c</v>
      </c>
      <c r="AC185" s="17" t="str">
        <f t="shared" si="5"/>
        <v>0.9222797927</v>
      </c>
      <c r="AD185" s="18" t="str">
        <f t="shared" si="10"/>
        <v>2.447163515</v>
      </c>
      <c r="AE185" s="17" t="str">
        <f t="shared" si="6"/>
        <v>6.179775281</v>
      </c>
      <c r="AF185" s="17" t="str">
        <f t="shared" si="11"/>
        <v>0.1036363636</v>
      </c>
      <c r="AG185" s="17" t="s">
        <v>30</v>
      </c>
      <c r="AH185" s="17" t="str">
        <f t="shared" si="68"/>
        <v>Arching</v>
      </c>
      <c r="AI185" s="17" t="str">
        <f t="shared" si="16"/>
        <v>Arching</v>
      </c>
      <c r="AJ185" s="17" t="str">
        <f t="shared" si="7"/>
        <v>Arching</v>
      </c>
    </row>
    <row r="186" ht="12.75" customHeight="1">
      <c r="A186" s="11">
        <v>184.0</v>
      </c>
      <c r="B186" s="17" t="s">
        <v>205</v>
      </c>
      <c r="C186" s="17" t="s">
        <v>89</v>
      </c>
      <c r="D186" s="17" t="s">
        <v>206</v>
      </c>
      <c r="E186" s="22" t="s">
        <v>130</v>
      </c>
      <c r="F186" s="17">
        <v>2008.0</v>
      </c>
      <c r="G186" s="17">
        <v>8.1</v>
      </c>
      <c r="H186" s="16">
        <v>12.555</v>
      </c>
      <c r="I186" s="16">
        <v>16728.200999999997</v>
      </c>
      <c r="J186" s="16">
        <v>61966.701</v>
      </c>
      <c r="K186" s="16">
        <v>116.964</v>
      </c>
      <c r="L186" s="16">
        <v>1233.954</v>
      </c>
      <c r="M186" s="16">
        <v>2.916</v>
      </c>
      <c r="N186" s="16">
        <v>12.0</v>
      </c>
      <c r="O186" s="16">
        <v>9.0</v>
      </c>
      <c r="P186" s="17">
        <v>4.0</v>
      </c>
      <c r="Q186" s="17" t="str">
        <f t="shared" si="1"/>
        <v>0.4444444444</v>
      </c>
      <c r="R186" s="17" t="str">
        <f t="shared" si="2"/>
        <v>0.2322580645</v>
      </c>
      <c r="S186" s="17" t="str">
        <f t="shared" si="8"/>
        <v>0.75</v>
      </c>
      <c r="T186" s="17" t="str">
        <f>IF(Q186&lt;1,"Partial discharge,Low Temprature thermal fault,")</f>
        <v>Partial discharge,Low Temprature thermal fault,</v>
      </c>
      <c r="U186" s="17" t="s">
        <v>31</v>
      </c>
      <c r="V186" s="17" t="str">
        <f t="shared" si="162"/>
        <v>Partial discharge, Normal </v>
      </c>
      <c r="W186" s="17" t="str">
        <f t="shared" si="3"/>
        <v>0.4444444444</v>
      </c>
      <c r="X186" s="17" t="str">
        <f t="shared" si="33"/>
        <v>0.2322580645</v>
      </c>
      <c r="Y186" s="17" t="str">
        <f t="shared" si="9"/>
        <v>0.75</v>
      </c>
      <c r="Z186" s="17" t="s">
        <v>34</v>
      </c>
      <c r="AA186" s="17" t="s">
        <v>34</v>
      </c>
      <c r="AB186" s="17" t="s">
        <v>107</v>
      </c>
      <c r="AC186" s="17" t="str">
        <f t="shared" si="5"/>
        <v>0.2322580645</v>
      </c>
      <c r="AD186" s="18" t="str">
        <f t="shared" si="10"/>
        <v>0.4444444444</v>
      </c>
      <c r="AE186" s="17" t="str">
        <f t="shared" si="6"/>
        <v>1.371742112</v>
      </c>
      <c r="AF186" s="17" t="str">
        <f t="shared" si="11"/>
        <v>3</v>
      </c>
      <c r="AG186" s="17" t="s">
        <v>30</v>
      </c>
      <c r="AH186" s="17" t="str">
        <f t="shared" si="68"/>
        <v>Thermal Decomposition, </v>
      </c>
      <c r="AI186" s="17" t="str">
        <f t="shared" si="16"/>
        <v>Arching</v>
      </c>
      <c r="AJ186" s="17" t="str">
        <f t="shared" si="7"/>
        <v>Thermal Decomposition,corona </v>
      </c>
    </row>
    <row r="187" ht="12.75" customHeight="1">
      <c r="A187" s="11">
        <v>185.0</v>
      </c>
      <c r="B187" s="17" t="s">
        <v>207</v>
      </c>
      <c r="C187" s="17" t="s">
        <v>89</v>
      </c>
      <c r="D187" s="17" t="s">
        <v>206</v>
      </c>
      <c r="E187" s="22" t="s">
        <v>130</v>
      </c>
      <c r="F187" s="17">
        <v>2006.0</v>
      </c>
      <c r="G187" s="17">
        <v>7.6</v>
      </c>
      <c r="H187" s="16">
        <v>6.688</v>
      </c>
      <c r="I187" s="16">
        <v>14018.276</v>
      </c>
      <c r="J187" s="16">
        <v>59203.92399999999</v>
      </c>
      <c r="K187" s="16">
        <v>144.324</v>
      </c>
      <c r="L187" s="16">
        <v>1553.2119999999998</v>
      </c>
      <c r="M187" s="16">
        <v>7.447999999999999</v>
      </c>
      <c r="N187" s="16">
        <v>1.5959999999999999</v>
      </c>
      <c r="O187" s="16">
        <v>4.0</v>
      </c>
      <c r="P187" s="17">
        <v>6.0</v>
      </c>
      <c r="Q187" s="17" t="str">
        <f t="shared" si="1"/>
        <v>1.5</v>
      </c>
      <c r="R187" s="17" t="str">
        <f t="shared" si="2"/>
        <v>1.113636364</v>
      </c>
      <c r="S187" s="17" t="str">
        <f t="shared" si="8"/>
        <v>2.506265664</v>
      </c>
      <c r="T187" s="17" t="s">
        <v>30</v>
      </c>
      <c r="U187" s="17" t="str">
        <f t="shared" ref="U187:U188" si="163">IF(R187&gt;1,"Thermal Fault &lt;700c, thermal fault &gt;700c ")</f>
        <v>Thermal Fault &lt;700c, thermal fault &gt;700c </v>
      </c>
      <c r="V187" s="17" t="s">
        <v>37</v>
      </c>
      <c r="W187" s="17" t="str">
        <f t="shared" si="3"/>
        <v>1.5</v>
      </c>
      <c r="X187" s="17" t="str">
        <f t="shared" si="33"/>
        <v>1.113636364</v>
      </c>
      <c r="Y187" s="17" t="str">
        <f t="shared" si="9"/>
        <v>2.506265664</v>
      </c>
      <c r="Z187" s="17" t="str">
        <f>IF(W187&gt;1,"Discharge of Low Energy,  ",IF(W187&lt;0.1,"Thermal  Fault&gt; 300c and&lt;700 c"))</f>
        <v>Discharge of Low Energy,  </v>
      </c>
      <c r="AA187" s="17" t="str">
        <f t="shared" ref="AA187:AA188" si="164">IF(X187&lt;0.1,"Partial Discharges, ",IF(X187&gt;1,"Thermal  Fault &gt;300c and&lt;700 and &gt;700 c"))</f>
        <v>Thermal  Fault &gt;300c and&lt;700 and &gt;700 c</v>
      </c>
      <c r="AB187" s="17" t="str">
        <f>IF(Y187&lt;0.2,"Partial Discharges, ",IF(Y187&gt;1,"Thermal  Fault  &gt;700 c"))</f>
        <v>Thermal  Fault  &gt;700 c</v>
      </c>
      <c r="AC187" s="17" t="str">
        <f t="shared" si="5"/>
        <v>1.113636364</v>
      </c>
      <c r="AD187" s="18" t="str">
        <f t="shared" si="10"/>
        <v>1.5</v>
      </c>
      <c r="AE187" s="17" t="str">
        <f t="shared" si="6"/>
        <v>0.8055853921</v>
      </c>
      <c r="AF187" s="17" t="str">
        <f t="shared" si="11"/>
        <v>0.266</v>
      </c>
      <c r="AG187" s="17" t="str">
        <f t="shared" ref="AG187:AG188" si="165">IF(AC187&gt;1,"Thermal Decomposition, ",IF(AC187&lt;0.1,"Corona,Arching"))</f>
        <v>Thermal Decomposition, </v>
      </c>
      <c r="AH187" s="17" t="str">
        <f t="shared" si="68"/>
        <v>Arching</v>
      </c>
      <c r="AI187" s="17" t="str">
        <f t="shared" si="16"/>
        <v>Arching</v>
      </c>
      <c r="AJ187" s="17" t="str">
        <f t="shared" si="7"/>
        <v>Arching</v>
      </c>
    </row>
    <row r="188" ht="12.75" customHeight="1">
      <c r="A188" s="11">
        <v>186.0</v>
      </c>
      <c r="B188" s="17" t="s">
        <v>208</v>
      </c>
      <c r="C188" s="17" t="s">
        <v>89</v>
      </c>
      <c r="D188" s="17" t="s">
        <v>206</v>
      </c>
      <c r="E188" s="22" t="s">
        <v>130</v>
      </c>
      <c r="F188" s="17">
        <v>2006.0</v>
      </c>
      <c r="G188" s="17">
        <v>8.0</v>
      </c>
      <c r="H188" s="16">
        <v>2.64</v>
      </c>
      <c r="I188" s="16">
        <v>15906.800000000001</v>
      </c>
      <c r="J188" s="16">
        <v>61196.64</v>
      </c>
      <c r="K188" s="16">
        <v>157.44</v>
      </c>
      <c r="L188" s="16">
        <v>1698.7200000000003</v>
      </c>
      <c r="M188" s="16">
        <v>5.04</v>
      </c>
      <c r="N188" s="16">
        <v>11.0</v>
      </c>
      <c r="O188" s="16">
        <v>7.0</v>
      </c>
      <c r="P188" s="17">
        <v>4.0</v>
      </c>
      <c r="Q188" s="17" t="str">
        <f t="shared" si="1"/>
        <v>0.5714285714</v>
      </c>
      <c r="R188" s="17" t="str">
        <f t="shared" si="2"/>
        <v>1.909090909</v>
      </c>
      <c r="S188" s="17" t="str">
        <f t="shared" si="8"/>
        <v>0.6363636364</v>
      </c>
      <c r="T188" s="17" t="str">
        <f t="shared" ref="T188:T189" si="166">IF(Q188&lt;1,"Partial discharge,Low Temprature thermal fault,")</f>
        <v>Partial discharge,Low Temprature thermal fault,</v>
      </c>
      <c r="U188" s="17" t="str">
        <f t="shared" si="163"/>
        <v>Thermal Fault &lt;700c, thermal fault &gt;700c </v>
      </c>
      <c r="V188" s="17" t="str">
        <f t="shared" ref="V188:V190" si="167">IF(S188&lt;1,"Partial discharge, Normal ",IF(S188&gt;3,"Arching,Thermal  Fault &gt; 700 c"))</f>
        <v>Partial discharge, Normal </v>
      </c>
      <c r="W188" s="17" t="str">
        <f t="shared" si="3"/>
        <v>0.5714285714</v>
      </c>
      <c r="X188" s="17" t="str">
        <f t="shared" si="33"/>
        <v>1.909090909</v>
      </c>
      <c r="Y188" s="17" t="str">
        <f t="shared" si="9"/>
        <v>0.6363636364</v>
      </c>
      <c r="Z188" s="17" t="s">
        <v>34</v>
      </c>
      <c r="AA188" s="17" t="str">
        <f t="shared" si="164"/>
        <v>Thermal  Fault &gt;300c and&lt;700 and &gt;700 c</v>
      </c>
      <c r="AB188" s="17" t="s">
        <v>107</v>
      </c>
      <c r="AC188" s="17" t="str">
        <f t="shared" si="5"/>
        <v>1.909090909</v>
      </c>
      <c r="AD188" s="18" t="str">
        <f t="shared" si="10"/>
        <v>0.5714285714</v>
      </c>
      <c r="AE188" s="17" t="str">
        <f t="shared" si="6"/>
        <v>0.7936507937</v>
      </c>
      <c r="AF188" s="17" t="str">
        <f t="shared" si="11"/>
        <v>2.75</v>
      </c>
      <c r="AG188" s="17" t="str">
        <f t="shared" si="165"/>
        <v>Thermal Decomposition, </v>
      </c>
      <c r="AH188" s="17" t="str">
        <f t="shared" si="68"/>
        <v>Thermal Decomposition, </v>
      </c>
      <c r="AI188" s="17" t="str">
        <f t="shared" si="16"/>
        <v>Arching</v>
      </c>
      <c r="AJ188" s="17" t="str">
        <f t="shared" si="7"/>
        <v>Thermal Decomposition,corona </v>
      </c>
    </row>
    <row r="189" ht="12.75" customHeight="1">
      <c r="A189" s="11">
        <v>187.0</v>
      </c>
      <c r="B189" s="17" t="s">
        <v>209</v>
      </c>
      <c r="C189" s="17" t="s">
        <v>89</v>
      </c>
      <c r="D189" s="17" t="s">
        <v>210</v>
      </c>
      <c r="E189" s="22" t="s">
        <v>95</v>
      </c>
      <c r="F189" s="17">
        <v>2003.0</v>
      </c>
      <c r="G189" s="17">
        <v>7.7</v>
      </c>
      <c r="H189" s="16">
        <v>7.007000000000001</v>
      </c>
      <c r="I189" s="16">
        <v>15410.395</v>
      </c>
      <c r="J189" s="16">
        <v>59954.818</v>
      </c>
      <c r="K189" s="16">
        <v>101.79400000000001</v>
      </c>
      <c r="L189" s="16">
        <v>1118.271</v>
      </c>
      <c r="M189" s="16">
        <v>4.851000000000001</v>
      </c>
      <c r="N189" s="16">
        <v>14.0</v>
      </c>
      <c r="O189" s="16">
        <v>7.0</v>
      </c>
      <c r="P189" s="17">
        <v>6.0</v>
      </c>
      <c r="Q189" s="17" t="str">
        <f t="shared" si="1"/>
        <v>0.8571428571</v>
      </c>
      <c r="R189" s="17" t="str">
        <f t="shared" si="2"/>
        <v>0.6923076923</v>
      </c>
      <c r="S189" s="17" t="str">
        <f t="shared" si="8"/>
        <v>0.5</v>
      </c>
      <c r="T189" s="17" t="str">
        <f t="shared" si="166"/>
        <v>Partial discharge,Low Temprature thermal fault,</v>
      </c>
      <c r="U189" s="17" t="s">
        <v>31</v>
      </c>
      <c r="V189" s="17" t="str">
        <f t="shared" si="167"/>
        <v>Partial discharge, Normal </v>
      </c>
      <c r="W189" s="17" t="str">
        <f t="shared" si="3"/>
        <v>0.8571428571</v>
      </c>
      <c r="X189" s="17" t="str">
        <f t="shared" si="33"/>
        <v>0.6923076923</v>
      </c>
      <c r="Y189" s="17" t="str">
        <f t="shared" si="9"/>
        <v>0.5</v>
      </c>
      <c r="Z189" s="17" t="s">
        <v>34</v>
      </c>
      <c r="AA189" s="17" t="s">
        <v>34</v>
      </c>
      <c r="AB189" s="17" t="s">
        <v>107</v>
      </c>
      <c r="AC189" s="17" t="str">
        <f t="shared" si="5"/>
        <v>0.6923076923</v>
      </c>
      <c r="AD189" s="18" t="str">
        <f t="shared" si="10"/>
        <v>0.8571428571</v>
      </c>
      <c r="AE189" s="17" t="str">
        <f t="shared" si="6"/>
        <v>1.23685838</v>
      </c>
      <c r="AF189" s="17" t="str">
        <f t="shared" si="11"/>
        <v>2.333333333</v>
      </c>
      <c r="AG189" s="17" t="s">
        <v>30</v>
      </c>
      <c r="AH189" s="17" t="str">
        <f t="shared" si="68"/>
        <v>Arching</v>
      </c>
      <c r="AI189" s="17" t="str">
        <f t="shared" si="16"/>
        <v>Arching</v>
      </c>
      <c r="AJ189" s="17" t="str">
        <f t="shared" si="7"/>
        <v>Thermal Decomposition,corona </v>
      </c>
    </row>
    <row r="190" ht="12.75" customHeight="1">
      <c r="A190" s="11">
        <v>188.0</v>
      </c>
      <c r="B190" s="17" t="s">
        <v>211</v>
      </c>
      <c r="C190" s="17" t="s">
        <v>89</v>
      </c>
      <c r="D190" s="17" t="s">
        <v>210</v>
      </c>
      <c r="E190" s="22" t="s">
        <v>95</v>
      </c>
      <c r="F190" s="17">
        <v>2003.0</v>
      </c>
      <c r="G190" s="17">
        <v>7.6</v>
      </c>
      <c r="H190" s="16">
        <v>2.052</v>
      </c>
      <c r="I190" s="16">
        <v>15628.336</v>
      </c>
      <c r="J190" s="16">
        <v>58494.236000000004</v>
      </c>
      <c r="K190" s="16">
        <v>116.05199999999999</v>
      </c>
      <c r="L190" s="16">
        <v>961.932</v>
      </c>
      <c r="M190" s="16">
        <v>1.444</v>
      </c>
      <c r="N190" s="16">
        <v>15.0</v>
      </c>
      <c r="O190" s="16">
        <v>4.0</v>
      </c>
      <c r="P190" s="17">
        <v>4.0</v>
      </c>
      <c r="Q190" s="17" t="str">
        <f t="shared" si="1"/>
        <v>1</v>
      </c>
      <c r="R190" s="17" t="str">
        <f t="shared" si="2"/>
        <v>0.7037037037</v>
      </c>
      <c r="S190" s="17" t="str">
        <f t="shared" si="8"/>
        <v>0.2666666667</v>
      </c>
      <c r="T190" s="17" t="s">
        <v>30</v>
      </c>
      <c r="U190" s="17" t="s">
        <v>31</v>
      </c>
      <c r="V190" s="17" t="str">
        <f t="shared" si="167"/>
        <v>Partial discharge, Normal </v>
      </c>
      <c r="W190" s="17" t="str">
        <f t="shared" si="3"/>
        <v>1</v>
      </c>
      <c r="X190" s="17" t="str">
        <f t="shared" si="33"/>
        <v>0.7037037037</v>
      </c>
      <c r="Y190" s="17" t="str">
        <f t="shared" si="9"/>
        <v>0.2666666667</v>
      </c>
      <c r="Z190" s="17" t="s">
        <v>34</v>
      </c>
      <c r="AA190" s="17" t="s">
        <v>34</v>
      </c>
      <c r="AB190" s="17" t="s">
        <v>107</v>
      </c>
      <c r="AC190" s="17" t="str">
        <f t="shared" si="5"/>
        <v>0.7037037037</v>
      </c>
      <c r="AD190" s="18" t="str">
        <f t="shared" si="10"/>
        <v>1</v>
      </c>
      <c r="AE190" s="17" t="str">
        <f t="shared" si="6"/>
        <v>2.770083102</v>
      </c>
      <c r="AF190" s="17" t="str">
        <f t="shared" si="11"/>
        <v>3.75</v>
      </c>
      <c r="AG190" s="17" t="s">
        <v>30</v>
      </c>
      <c r="AH190" s="17" t="str">
        <f t="shared" si="68"/>
        <v>Arching</v>
      </c>
      <c r="AI190" s="17" t="str">
        <f t="shared" si="16"/>
        <v>Arching</v>
      </c>
      <c r="AJ190" s="17" t="str">
        <f t="shared" si="7"/>
        <v>Thermal Decomposition,corona </v>
      </c>
    </row>
    <row r="191" ht="12.75" customHeight="1">
      <c r="A191" s="11">
        <v>189.0</v>
      </c>
      <c r="B191" s="17" t="s">
        <v>212</v>
      </c>
      <c r="C191" s="17" t="s">
        <v>89</v>
      </c>
      <c r="D191" s="17" t="s">
        <v>210</v>
      </c>
      <c r="E191" s="22" t="s">
        <v>95</v>
      </c>
      <c r="F191" s="17">
        <v>2003.0</v>
      </c>
      <c r="G191" s="17">
        <v>7.8</v>
      </c>
      <c r="H191" s="16">
        <v>4.367999999999999</v>
      </c>
      <c r="I191" s="16">
        <v>15768.869999999999</v>
      </c>
      <c r="J191" s="16">
        <v>59983.48199999999</v>
      </c>
      <c r="K191" s="16">
        <v>109.04400000000001</v>
      </c>
      <c r="L191" s="16">
        <v>1208.61</v>
      </c>
      <c r="M191" s="16">
        <v>1.638</v>
      </c>
      <c r="N191" s="16">
        <v>7.0</v>
      </c>
      <c r="O191" s="16">
        <v>7.0</v>
      </c>
      <c r="P191" s="17">
        <v>3.0</v>
      </c>
      <c r="Q191" s="17" t="str">
        <f t="shared" si="1"/>
        <v>0.4285714286</v>
      </c>
      <c r="R191" s="17" t="str">
        <f t="shared" si="2"/>
        <v>0.375</v>
      </c>
      <c r="S191" s="17" t="str">
        <f t="shared" si="8"/>
        <v>1</v>
      </c>
      <c r="T191" s="17" t="str">
        <f t="shared" ref="T191:T193" si="168">IF(Q191&lt;1,"Partial discharge,Low Temprature thermal fault,")</f>
        <v>Partial discharge,Low Temprature thermal fault,</v>
      </c>
      <c r="U191" s="17" t="s">
        <v>31</v>
      </c>
      <c r="V191" s="17" t="s">
        <v>37</v>
      </c>
      <c r="W191" s="17" t="str">
        <f t="shared" si="3"/>
        <v>0.4285714286</v>
      </c>
      <c r="X191" s="17" t="str">
        <f t="shared" si="33"/>
        <v>0.375</v>
      </c>
      <c r="Y191" s="17" t="str">
        <f t="shared" si="9"/>
        <v>1</v>
      </c>
      <c r="Z191" s="17" t="s">
        <v>34</v>
      </c>
      <c r="AA191" s="17" t="s">
        <v>34</v>
      </c>
      <c r="AB191" s="17" t="s">
        <v>107</v>
      </c>
      <c r="AC191" s="17" t="str">
        <f t="shared" si="5"/>
        <v>0.375</v>
      </c>
      <c r="AD191" s="18" t="str">
        <f t="shared" si="10"/>
        <v>0.4285714286</v>
      </c>
      <c r="AE191" s="17" t="str">
        <f t="shared" si="6"/>
        <v>1.831501832</v>
      </c>
      <c r="AF191" s="17" t="str">
        <f t="shared" si="11"/>
        <v>2.333333333</v>
      </c>
      <c r="AG191" s="17" t="s">
        <v>30</v>
      </c>
      <c r="AH191" s="17" t="str">
        <f t="shared" si="68"/>
        <v>Thermal Decomposition, </v>
      </c>
      <c r="AI191" s="17" t="str">
        <f t="shared" si="16"/>
        <v>Arching</v>
      </c>
      <c r="AJ191" s="17" t="str">
        <f t="shared" si="7"/>
        <v>Thermal Decomposition,corona </v>
      </c>
    </row>
    <row r="192" ht="12.75" customHeight="1">
      <c r="A192" s="11">
        <v>190.0</v>
      </c>
      <c r="B192" s="17" t="s">
        <v>213</v>
      </c>
      <c r="C192" s="17" t="s">
        <v>40</v>
      </c>
      <c r="D192" s="17" t="s">
        <v>190</v>
      </c>
      <c r="E192" s="22" t="s">
        <v>179</v>
      </c>
      <c r="F192" s="17">
        <v>1997.0</v>
      </c>
      <c r="G192" s="17">
        <v>7.9</v>
      </c>
      <c r="H192" s="16">
        <v>2.844</v>
      </c>
      <c r="I192" s="16">
        <v>14320.883</v>
      </c>
      <c r="J192" s="16">
        <v>62104.744000000006</v>
      </c>
      <c r="K192" s="16">
        <v>150.258</v>
      </c>
      <c r="L192" s="16">
        <v>1674.721</v>
      </c>
      <c r="M192" s="17">
        <v>9.0</v>
      </c>
      <c r="N192" s="17">
        <v>9.0</v>
      </c>
      <c r="O192" s="17">
        <v>9.0</v>
      </c>
      <c r="P192" s="17">
        <v>6.0</v>
      </c>
      <c r="Q192" s="17" t="str">
        <f t="shared" si="1"/>
        <v>0.6666666667</v>
      </c>
      <c r="R192" s="17" t="str">
        <f t="shared" si="2"/>
        <v>3.164556962</v>
      </c>
      <c r="S192" s="17" t="str">
        <f t="shared" si="8"/>
        <v>1</v>
      </c>
      <c r="T192" s="17" t="str">
        <f t="shared" si="168"/>
        <v>Partial discharge,Low Temprature thermal fault,</v>
      </c>
      <c r="U192" s="17" t="str">
        <f>IF(R192&lt;0.1, "Partial discharge", "Low temperature thermal ")</f>
        <v>Low temperature thermal </v>
      </c>
      <c r="V192" s="17" t="s">
        <v>37</v>
      </c>
      <c r="W192" s="17" t="str">
        <f t="shared" si="3"/>
        <v>0.6666666667</v>
      </c>
      <c r="X192" s="17" t="str">
        <f t="shared" si="33"/>
        <v>3.164556962</v>
      </c>
      <c r="Y192" s="17" t="str">
        <f t="shared" si="9"/>
        <v>1</v>
      </c>
      <c r="Z192" s="17" t="s">
        <v>34</v>
      </c>
      <c r="AA192" s="17" t="str">
        <f t="shared" ref="AA192:AA194" si="169">IF(X192&lt;0.1,"Partial Discharges, ",IF(X192&gt;1,"Thermal  Fault &gt;300c and&lt;700 and &gt;700 c"))</f>
        <v>Thermal  Fault &gt;300c and&lt;700 and &gt;700 c</v>
      </c>
      <c r="AB192" s="17" t="s">
        <v>107</v>
      </c>
      <c r="AC192" s="17" t="str">
        <f t="shared" si="5"/>
        <v>3.164556962</v>
      </c>
      <c r="AD192" s="18" t="str">
        <f t="shared" si="10"/>
        <v>0.6666666667</v>
      </c>
      <c r="AE192" s="17" t="str">
        <f t="shared" si="6"/>
        <v>0.6666666667</v>
      </c>
      <c r="AF192" s="17" t="str">
        <f t="shared" si="11"/>
        <v>1.5</v>
      </c>
      <c r="AG192" s="17" t="str">
        <f t="shared" ref="AG192:AG194" si="170">IF(AC192&gt;1,"Thermal Decomposition, ",IF(AC192&lt;0.1,"Corona,Arching"))</f>
        <v>Thermal Decomposition, </v>
      </c>
      <c r="AH192" s="17" t="str">
        <f t="shared" si="68"/>
        <v>Thermal Decomposition, </v>
      </c>
      <c r="AI192" s="17" t="str">
        <f t="shared" si="16"/>
        <v>Arching</v>
      </c>
      <c r="AJ192" s="17" t="str">
        <f t="shared" si="7"/>
        <v>Thermal Decomposition,corona </v>
      </c>
    </row>
    <row r="193" ht="12.75" customHeight="1">
      <c r="A193" s="11">
        <v>191.0</v>
      </c>
      <c r="B193" s="17" t="s">
        <v>214</v>
      </c>
      <c r="C193" s="17" t="s">
        <v>82</v>
      </c>
      <c r="D193" s="17" t="s">
        <v>190</v>
      </c>
      <c r="E193" s="22" t="s">
        <v>67</v>
      </c>
      <c r="F193" s="17">
        <v>1936.0</v>
      </c>
      <c r="G193" s="17">
        <v>8.3</v>
      </c>
      <c r="H193" s="16">
        <v>4.648</v>
      </c>
      <c r="I193" s="16">
        <v>14571.480000000003</v>
      </c>
      <c r="J193" s="16">
        <v>64508.098000000005</v>
      </c>
      <c r="K193" s="16">
        <v>233.31300000000002</v>
      </c>
      <c r="L193" s="16">
        <v>2462.7760000000003</v>
      </c>
      <c r="M193" s="16">
        <v>8.134</v>
      </c>
      <c r="N193" s="16">
        <v>9.0</v>
      </c>
      <c r="O193" s="16">
        <v>9.296</v>
      </c>
      <c r="P193" s="17">
        <v>7.0</v>
      </c>
      <c r="Q193" s="17" t="str">
        <f t="shared" si="1"/>
        <v>0.7530120482</v>
      </c>
      <c r="R193" s="17" t="str">
        <f t="shared" si="2"/>
        <v>1.75</v>
      </c>
      <c r="S193" s="17" t="str">
        <f t="shared" si="8"/>
        <v>1.032888889</v>
      </c>
      <c r="T193" s="17" t="str">
        <f t="shared" si="168"/>
        <v>Partial discharge,Low Temprature thermal fault,</v>
      </c>
      <c r="U193" s="17" t="str">
        <f t="shared" ref="U193:U194" si="171">IF(R193&gt;1,"Thermal Fault &lt;700c, thermal fault &gt;700c ")</f>
        <v>Thermal Fault &lt;700c, thermal fault &gt;700c </v>
      </c>
      <c r="V193" s="17" t="s">
        <v>37</v>
      </c>
      <c r="W193" s="17" t="str">
        <f t="shared" si="3"/>
        <v>0.7530120482</v>
      </c>
      <c r="X193" s="17" t="str">
        <f t="shared" si="33"/>
        <v>1.75</v>
      </c>
      <c r="Y193" s="17" t="str">
        <f t="shared" si="9"/>
        <v>1.032888889</v>
      </c>
      <c r="Z193" s="17" t="s">
        <v>34</v>
      </c>
      <c r="AA193" s="17" t="str">
        <f t="shared" si="169"/>
        <v>Thermal  Fault &gt;300c and&lt;700 and &gt;700 c</v>
      </c>
      <c r="AB193" s="17" t="str">
        <f t="shared" ref="AB193:AB194" si="172">IF(Y193&lt;0.2,"Partial Discharges, ",IF(Y193&gt;1,"Thermal  Fault  &gt;700 c"))</f>
        <v>Thermal  Fault  &gt;700 c</v>
      </c>
      <c r="AC193" s="17" t="str">
        <f t="shared" si="5"/>
        <v>1.75</v>
      </c>
      <c r="AD193" s="18" t="str">
        <f t="shared" si="10"/>
        <v>0.7530120482</v>
      </c>
      <c r="AE193" s="17" t="str">
        <f t="shared" si="6"/>
        <v>0.8605851979</v>
      </c>
      <c r="AF193" s="17" t="str">
        <f t="shared" si="11"/>
        <v>1.285714286</v>
      </c>
      <c r="AG193" s="17" t="str">
        <f t="shared" si="170"/>
        <v>Thermal Decomposition, </v>
      </c>
      <c r="AH193" s="17" t="str">
        <f t="shared" si="68"/>
        <v>Arching</v>
      </c>
      <c r="AI193" s="17" t="str">
        <f t="shared" si="16"/>
        <v>Arching</v>
      </c>
      <c r="AJ193" s="17" t="str">
        <f t="shared" si="7"/>
        <v>Thermal Decomposition,corona </v>
      </c>
    </row>
    <row r="194" ht="12.75" customHeight="1">
      <c r="A194" s="11">
        <v>192.0</v>
      </c>
      <c r="B194" s="14" t="s">
        <v>215</v>
      </c>
      <c r="C194" s="14" t="s">
        <v>99</v>
      </c>
      <c r="D194" s="14" t="s">
        <v>216</v>
      </c>
      <c r="E194" s="14" t="s">
        <v>122</v>
      </c>
      <c r="F194" s="14">
        <v>1995.0</v>
      </c>
      <c r="G194" s="19">
        <v>7.6</v>
      </c>
      <c r="H194" s="16">
        <v>136.648</v>
      </c>
      <c r="I194" s="16">
        <v>15916.451999999997</v>
      </c>
      <c r="J194" s="16">
        <v>55961.231999999996</v>
      </c>
      <c r="K194" s="16">
        <v>150.93599999999998</v>
      </c>
      <c r="L194" s="16">
        <v>1691.152</v>
      </c>
      <c r="M194" s="16">
        <v>176.24399999999997</v>
      </c>
      <c r="N194" s="16">
        <v>11.704</v>
      </c>
      <c r="O194" s="16">
        <v>330.97999999999996</v>
      </c>
      <c r="P194" s="16">
        <v>541.272</v>
      </c>
      <c r="Q194" s="17" t="str">
        <f t="shared" si="1"/>
        <v>1.635361653</v>
      </c>
      <c r="R194" s="17" t="str">
        <f t="shared" si="2"/>
        <v>1.289766407</v>
      </c>
      <c r="S194" s="17" t="str">
        <f t="shared" si="8"/>
        <v>28.27922078</v>
      </c>
      <c r="T194" s="17" t="s">
        <v>30</v>
      </c>
      <c r="U194" s="17" t="str">
        <f t="shared" si="171"/>
        <v>Thermal Fault &lt;700c, thermal fault &gt;700c </v>
      </c>
      <c r="V194" s="17" t="str">
        <f t="shared" ref="V194:V196" si="173">IF(S194&lt;1,"Partial discharge, Normal ",IF(S194&gt;3,"Arching,Thermal  Fault &gt; 700 c"))</f>
        <v>Arching,Thermal  Fault &gt; 700 c</v>
      </c>
      <c r="W194" s="17" t="str">
        <f t="shared" si="3"/>
        <v>1.635361653</v>
      </c>
      <c r="X194" s="17" t="str">
        <f t="shared" si="33"/>
        <v>1.289766407</v>
      </c>
      <c r="Y194" s="17" t="str">
        <f t="shared" si="9"/>
        <v>28.27922078</v>
      </c>
      <c r="Z194" s="17" t="str">
        <f t="shared" ref="Z194:Z196" si="174">IF(W194&gt;1,"Discharge of Low Energy,  ",IF(W194&lt;0.1,"Thermal  Fault&gt; 300c and&lt;700 c"))</f>
        <v>Discharge of Low Energy,  </v>
      </c>
      <c r="AA194" s="17" t="str">
        <f t="shared" si="169"/>
        <v>Thermal  Fault &gt;300c and&lt;700 and &gt;700 c</v>
      </c>
      <c r="AB194" s="17" t="str">
        <f t="shared" si="172"/>
        <v>Thermal  Fault  &gt;700 c</v>
      </c>
      <c r="AC194" s="17" t="str">
        <f t="shared" si="5"/>
        <v>1.289766407</v>
      </c>
      <c r="AD194" s="18" t="str">
        <f t="shared" si="10"/>
        <v>1.635361653</v>
      </c>
      <c r="AE194" s="17" t="str">
        <f t="shared" si="6"/>
        <v>3.071151358</v>
      </c>
      <c r="AF194" s="17" t="str">
        <f t="shared" si="11"/>
        <v>0.02162313957</v>
      </c>
      <c r="AG194" s="17" t="str">
        <f t="shared" si="170"/>
        <v>Thermal Decomposition, </v>
      </c>
      <c r="AH194" s="17" t="str">
        <f t="shared" si="68"/>
        <v>Arching</v>
      </c>
      <c r="AI194" s="17" t="str">
        <f t="shared" si="16"/>
        <v>Arching</v>
      </c>
      <c r="AJ194" s="17" t="str">
        <f t="shared" si="7"/>
        <v>Arching</v>
      </c>
    </row>
    <row r="195" ht="12.75" customHeight="1">
      <c r="A195" s="11">
        <v>193.0</v>
      </c>
      <c r="B195" s="17" t="s">
        <v>217</v>
      </c>
      <c r="C195" s="17" t="s">
        <v>89</v>
      </c>
      <c r="D195" s="17" t="s">
        <v>206</v>
      </c>
      <c r="E195" s="22" t="s">
        <v>179</v>
      </c>
      <c r="F195" s="17">
        <v>2009.0</v>
      </c>
      <c r="G195" s="17">
        <v>7.6</v>
      </c>
      <c r="H195" s="16">
        <v>1.9</v>
      </c>
      <c r="I195" s="16">
        <v>14074.592</v>
      </c>
      <c r="J195" s="16">
        <v>60269.59599999999</v>
      </c>
      <c r="K195" s="16">
        <v>105.564</v>
      </c>
      <c r="L195" s="16">
        <v>951.7479999999999</v>
      </c>
      <c r="M195" s="16">
        <v>1.5959999999999999</v>
      </c>
      <c r="N195" s="16">
        <v>8.0</v>
      </c>
      <c r="O195" s="16">
        <v>6.0</v>
      </c>
      <c r="P195" s="17">
        <v>8.0</v>
      </c>
      <c r="Q195" s="17" t="str">
        <f t="shared" si="1"/>
        <v>1.333333333</v>
      </c>
      <c r="R195" s="17" t="str">
        <f t="shared" si="2"/>
        <v>0.84</v>
      </c>
      <c r="S195" s="17" t="str">
        <f t="shared" si="8"/>
        <v>0.75</v>
      </c>
      <c r="T195" s="17" t="s">
        <v>30</v>
      </c>
      <c r="U195" s="17" t="s">
        <v>31</v>
      </c>
      <c r="V195" s="17" t="str">
        <f t="shared" si="173"/>
        <v>Partial discharge, Normal </v>
      </c>
      <c r="W195" s="17" t="str">
        <f t="shared" si="3"/>
        <v>1.333333333</v>
      </c>
      <c r="X195" s="17" t="str">
        <f t="shared" si="33"/>
        <v>0.84</v>
      </c>
      <c r="Y195" s="17" t="str">
        <f t="shared" si="9"/>
        <v>0.75</v>
      </c>
      <c r="Z195" s="17" t="str">
        <f t="shared" si="174"/>
        <v>Discharge of Low Energy,  </v>
      </c>
      <c r="AA195" s="17" t="s">
        <v>34</v>
      </c>
      <c r="AB195" s="17" t="s">
        <v>107</v>
      </c>
      <c r="AC195" s="17" t="str">
        <f t="shared" si="5"/>
        <v>0.84</v>
      </c>
      <c r="AD195" s="18" t="str">
        <f t="shared" si="10"/>
        <v>1.333333333</v>
      </c>
      <c r="AE195" s="17" t="str">
        <f t="shared" si="6"/>
        <v>5.012531328</v>
      </c>
      <c r="AF195" s="17" t="str">
        <f t="shared" si="11"/>
        <v>1</v>
      </c>
      <c r="AG195" s="17" t="s">
        <v>30</v>
      </c>
      <c r="AH195" s="17" t="str">
        <f t="shared" si="68"/>
        <v>Arching</v>
      </c>
      <c r="AI195" s="17" t="str">
        <f t="shared" si="16"/>
        <v>Arching</v>
      </c>
      <c r="AJ195" s="17" t="str">
        <f t="shared" si="7"/>
        <v>Thermal Decomposition,corona </v>
      </c>
    </row>
    <row r="196" ht="12.75" customHeight="1">
      <c r="A196" s="11">
        <v>194.0</v>
      </c>
      <c r="B196" s="17" t="s">
        <v>218</v>
      </c>
      <c r="C196" s="17" t="s">
        <v>89</v>
      </c>
      <c r="D196" s="17" t="s">
        <v>206</v>
      </c>
      <c r="E196" s="22" t="s">
        <v>179</v>
      </c>
      <c r="F196" s="17">
        <v>2009.0</v>
      </c>
      <c r="G196" s="17">
        <v>8.1</v>
      </c>
      <c r="H196" s="16">
        <v>4.941</v>
      </c>
      <c r="I196" s="16">
        <v>14670.152999999998</v>
      </c>
      <c r="J196" s="16">
        <v>64408.76999999999</v>
      </c>
      <c r="K196" s="16">
        <v>125.38799999999999</v>
      </c>
      <c r="L196" s="16">
        <v>1315.359</v>
      </c>
      <c r="M196" s="16">
        <v>1.134</v>
      </c>
      <c r="N196" s="16">
        <v>9.0</v>
      </c>
      <c r="O196" s="16">
        <v>2.0</v>
      </c>
      <c r="P196" s="17">
        <v>6.0</v>
      </c>
      <c r="Q196" s="17" t="str">
        <f t="shared" si="1"/>
        <v>3</v>
      </c>
      <c r="R196" s="17" t="str">
        <f t="shared" si="2"/>
        <v>0.2295081967</v>
      </c>
      <c r="S196" s="17" t="str">
        <f t="shared" si="8"/>
        <v>0.2222222222</v>
      </c>
      <c r="T196" s="17" t="s">
        <v>30</v>
      </c>
      <c r="U196" s="17" t="s">
        <v>31</v>
      </c>
      <c r="V196" s="17" t="str">
        <f t="shared" si="173"/>
        <v>Partial discharge, Normal </v>
      </c>
      <c r="W196" s="17" t="str">
        <f t="shared" si="3"/>
        <v>3</v>
      </c>
      <c r="X196" s="17" t="str">
        <f t="shared" si="33"/>
        <v>0.2295081967</v>
      </c>
      <c r="Y196" s="17" t="str">
        <f t="shared" si="9"/>
        <v>0.2222222222</v>
      </c>
      <c r="Z196" s="17" t="str">
        <f t="shared" si="174"/>
        <v>Discharge of Low Energy,  </v>
      </c>
      <c r="AA196" s="17" t="s">
        <v>34</v>
      </c>
      <c r="AB196" s="17" t="s">
        <v>107</v>
      </c>
      <c r="AC196" s="17" t="str">
        <f t="shared" si="5"/>
        <v>0.2295081967</v>
      </c>
      <c r="AD196" s="18" t="str">
        <f t="shared" si="10"/>
        <v>3</v>
      </c>
      <c r="AE196" s="17" t="str">
        <f t="shared" si="6"/>
        <v>5.291005291</v>
      </c>
      <c r="AF196" s="17" t="str">
        <f t="shared" si="11"/>
        <v>1.5</v>
      </c>
      <c r="AG196" s="17" t="s">
        <v>30</v>
      </c>
      <c r="AH196" s="17" t="str">
        <f t="shared" si="68"/>
        <v>Arching</v>
      </c>
      <c r="AI196" s="17" t="str">
        <f t="shared" si="16"/>
        <v>Arching</v>
      </c>
      <c r="AJ196" s="17" t="str">
        <f t="shared" si="7"/>
        <v>Thermal Decomposition,corona </v>
      </c>
    </row>
    <row r="197" ht="12.75" customHeight="1">
      <c r="A197" s="11">
        <v>195.0</v>
      </c>
      <c r="B197" s="17" t="s">
        <v>219</v>
      </c>
      <c r="C197" s="17" t="s">
        <v>89</v>
      </c>
      <c r="D197" s="17" t="s">
        <v>206</v>
      </c>
      <c r="E197" s="22" t="s">
        <v>179</v>
      </c>
      <c r="F197" s="17">
        <v>2009.0</v>
      </c>
      <c r="G197" s="17">
        <v>7.8</v>
      </c>
      <c r="H197" s="16">
        <v>6.552</v>
      </c>
      <c r="I197" s="16">
        <v>15694.224</v>
      </c>
      <c r="J197" s="16">
        <v>60615.828</v>
      </c>
      <c r="K197" s="16">
        <v>127.06199999999998</v>
      </c>
      <c r="L197" s="16">
        <v>1125.1499999999999</v>
      </c>
      <c r="M197" s="16">
        <v>4.134</v>
      </c>
      <c r="N197" s="16">
        <v>6.0</v>
      </c>
      <c r="O197" s="16">
        <v>8.0</v>
      </c>
      <c r="P197" s="17">
        <v>4.0</v>
      </c>
      <c r="Q197" s="17" t="str">
        <f t="shared" si="1"/>
        <v>0.5</v>
      </c>
      <c r="R197" s="17" t="str">
        <f t="shared" si="2"/>
        <v>0.630952381</v>
      </c>
      <c r="S197" s="17" t="str">
        <f t="shared" si="8"/>
        <v>1.333333333</v>
      </c>
      <c r="T197" s="17" t="str">
        <f>IF(Q197&lt;1,"Partial discharge,Low Temprature thermal fault,")</f>
        <v>Partial discharge,Low Temprature thermal fault,</v>
      </c>
      <c r="U197" s="17" t="s">
        <v>31</v>
      </c>
      <c r="V197" s="17" t="s">
        <v>37</v>
      </c>
      <c r="W197" s="17" t="str">
        <f t="shared" si="3"/>
        <v>0.5</v>
      </c>
      <c r="X197" s="17" t="str">
        <f t="shared" si="33"/>
        <v>0.630952381</v>
      </c>
      <c r="Y197" s="17" t="str">
        <f t="shared" si="9"/>
        <v>1.333333333</v>
      </c>
      <c r="Z197" s="17" t="s">
        <v>34</v>
      </c>
      <c r="AA197" s="17" t="s">
        <v>34</v>
      </c>
      <c r="AB197" s="17" t="str">
        <f>IF(Y197&lt;0.2,"Partial Discharges, ",IF(Y197&gt;1,"Thermal  Fault  &gt;700 c"))</f>
        <v>Thermal  Fault  &gt;700 c</v>
      </c>
      <c r="AC197" s="17" t="str">
        <f t="shared" si="5"/>
        <v>0.630952381</v>
      </c>
      <c r="AD197" s="18" t="str">
        <f t="shared" si="10"/>
        <v>0.5</v>
      </c>
      <c r="AE197" s="17" t="str">
        <f t="shared" si="6"/>
        <v>0.9675858732</v>
      </c>
      <c r="AF197" s="17" t="str">
        <f t="shared" si="11"/>
        <v>1.5</v>
      </c>
      <c r="AG197" s="17" t="s">
        <v>30</v>
      </c>
      <c r="AH197" s="17" t="str">
        <f t="shared" si="68"/>
        <v>Thermal Decomposition, </v>
      </c>
      <c r="AI197" s="17" t="str">
        <f t="shared" si="16"/>
        <v>Arching</v>
      </c>
      <c r="AJ197" s="17" t="str">
        <f t="shared" si="7"/>
        <v>Thermal Decomposition,corona </v>
      </c>
    </row>
    <row r="198" ht="12.75" customHeight="1">
      <c r="A198" s="11">
        <v>196.0</v>
      </c>
      <c r="B198" s="17" t="s">
        <v>220</v>
      </c>
      <c r="C198" s="17" t="s">
        <v>89</v>
      </c>
      <c r="D198" s="17" t="s">
        <v>206</v>
      </c>
      <c r="E198" s="22" t="s">
        <v>130</v>
      </c>
      <c r="F198" s="17">
        <v>2010.0</v>
      </c>
      <c r="G198" s="17">
        <v>8.2</v>
      </c>
      <c r="H198" s="16">
        <v>2.3779999999999997</v>
      </c>
      <c r="I198" s="16">
        <v>16191.965999999999</v>
      </c>
      <c r="J198" s="16">
        <v>63539.257999999994</v>
      </c>
      <c r="K198" s="16">
        <v>80.52399999999999</v>
      </c>
      <c r="L198" s="16">
        <v>1141.7679999999998</v>
      </c>
      <c r="M198" s="16">
        <v>1.5579999999999998</v>
      </c>
      <c r="N198" s="17">
        <v>4.0</v>
      </c>
      <c r="O198" s="16">
        <v>2.4599999999999995</v>
      </c>
      <c r="P198" s="17">
        <v>3.0</v>
      </c>
      <c r="Q198" s="17" t="str">
        <f t="shared" si="1"/>
        <v>1.219512195</v>
      </c>
      <c r="R198" s="17" t="str">
        <f t="shared" si="2"/>
        <v>0.6551724138</v>
      </c>
      <c r="S198" s="17" t="str">
        <f t="shared" si="8"/>
        <v>0.615</v>
      </c>
      <c r="T198" s="17" t="s">
        <v>30</v>
      </c>
      <c r="U198" s="17" t="s">
        <v>31</v>
      </c>
      <c r="V198" s="17" t="str">
        <f>IF(S198&lt;1,"Partial discharge, Normal ",IF(S198&gt;3,"Arching,Thermal  Fault &gt; 700 c"))</f>
        <v>Partial discharge, Normal </v>
      </c>
      <c r="W198" s="17" t="str">
        <f t="shared" si="3"/>
        <v>1.219512195</v>
      </c>
      <c r="X198" s="17" t="str">
        <f t="shared" si="33"/>
        <v>0.6551724138</v>
      </c>
      <c r="Y198" s="17" t="str">
        <f t="shared" si="9"/>
        <v>0.615</v>
      </c>
      <c r="Z198" s="17" t="str">
        <f>IF(W198&gt;1,"Discharge of Low Energy,  ",IF(W198&lt;0.1,"Thermal  Fault&gt; 300c and&lt;700 c"))</f>
        <v>Discharge of Low Energy,  </v>
      </c>
      <c r="AA198" s="17" t="s">
        <v>34</v>
      </c>
      <c r="AB198" s="17" t="s">
        <v>107</v>
      </c>
      <c r="AC198" s="17" t="str">
        <f t="shared" si="5"/>
        <v>0.6551724138</v>
      </c>
      <c r="AD198" s="18" t="str">
        <f t="shared" si="10"/>
        <v>1.219512195</v>
      </c>
      <c r="AE198" s="17" t="str">
        <f t="shared" si="6"/>
        <v>1.925545571</v>
      </c>
      <c r="AF198" s="17" t="str">
        <f t="shared" si="11"/>
        <v>1.333333333</v>
      </c>
      <c r="AG198" s="17" t="s">
        <v>30</v>
      </c>
      <c r="AH198" s="17" t="str">
        <f t="shared" si="68"/>
        <v>Arching</v>
      </c>
      <c r="AI198" s="17" t="str">
        <f t="shared" si="16"/>
        <v>Arching</v>
      </c>
      <c r="AJ198" s="17" t="str">
        <f t="shared" si="7"/>
        <v>Thermal Decomposition,corona </v>
      </c>
    </row>
    <row r="199" ht="12.75" customHeight="1">
      <c r="A199" s="11">
        <v>197.0</v>
      </c>
      <c r="B199" s="17" t="s">
        <v>221</v>
      </c>
      <c r="C199" s="17" t="s">
        <v>89</v>
      </c>
      <c r="D199" s="17" t="s">
        <v>206</v>
      </c>
      <c r="E199" s="22" t="s">
        <v>130</v>
      </c>
      <c r="F199" s="17">
        <v>2010.0</v>
      </c>
      <c r="G199" s="17">
        <v>7.6</v>
      </c>
      <c r="H199" s="16">
        <v>4.9399999999999995</v>
      </c>
      <c r="I199" s="16">
        <v>14763.304</v>
      </c>
      <c r="J199" s="16">
        <v>59249.979999999996</v>
      </c>
      <c r="K199" s="16">
        <v>93.632</v>
      </c>
      <c r="L199" s="16">
        <v>959.804</v>
      </c>
      <c r="M199" s="16">
        <v>1.064</v>
      </c>
      <c r="N199" s="16">
        <v>3.0</v>
      </c>
      <c r="O199" s="16">
        <v>9.0</v>
      </c>
      <c r="P199" s="17">
        <v>9.0</v>
      </c>
      <c r="Q199" s="17" t="str">
        <f t="shared" si="1"/>
        <v>1</v>
      </c>
      <c r="R199" s="17" t="str">
        <f t="shared" si="2"/>
        <v>0.2153846154</v>
      </c>
      <c r="S199" s="17" t="str">
        <f t="shared" si="8"/>
        <v>3</v>
      </c>
      <c r="T199" s="17" t="s">
        <v>30</v>
      </c>
      <c r="U199" s="17" t="s">
        <v>31</v>
      </c>
      <c r="V199" s="17" t="s">
        <v>37</v>
      </c>
      <c r="W199" s="17" t="str">
        <f t="shared" si="3"/>
        <v>1</v>
      </c>
      <c r="X199" s="17" t="str">
        <f t="shared" si="33"/>
        <v>0.2153846154</v>
      </c>
      <c r="Y199" s="17" t="str">
        <f t="shared" si="9"/>
        <v>3</v>
      </c>
      <c r="Z199" s="17" t="s">
        <v>34</v>
      </c>
      <c r="AA199" s="17" t="s">
        <v>34</v>
      </c>
      <c r="AB199" s="17" t="str">
        <f t="shared" ref="AB199:AB203" si="175">IF(Y199&lt;0.2,"Partial Discharges, ",IF(Y199&gt;1,"Thermal  Fault  &gt;700 c"))</f>
        <v>Thermal  Fault  &gt;700 c</v>
      </c>
      <c r="AC199" s="17" t="str">
        <f t="shared" si="5"/>
        <v>0.2153846154</v>
      </c>
      <c r="AD199" s="18" t="str">
        <f t="shared" si="10"/>
        <v>1</v>
      </c>
      <c r="AE199" s="17" t="str">
        <f t="shared" si="6"/>
        <v>8.458646617</v>
      </c>
      <c r="AF199" s="17" t="str">
        <f t="shared" si="11"/>
        <v>0.3333333333</v>
      </c>
      <c r="AG199" s="17" t="s">
        <v>30</v>
      </c>
      <c r="AH199" s="17" t="str">
        <f t="shared" si="68"/>
        <v>Arching</v>
      </c>
      <c r="AI199" s="17" t="str">
        <f t="shared" si="16"/>
        <v>Arching</v>
      </c>
      <c r="AJ199" s="17" t="str">
        <f t="shared" si="7"/>
        <v>Arching</v>
      </c>
    </row>
    <row r="200" ht="12.75" customHeight="1">
      <c r="A200" s="11">
        <v>198.0</v>
      </c>
      <c r="B200" s="19">
        <v>16460.0</v>
      </c>
      <c r="C200" s="19">
        <v>85.0</v>
      </c>
      <c r="D200" s="19">
        <v>11000.0</v>
      </c>
      <c r="E200" s="19" t="s">
        <v>222</v>
      </c>
      <c r="F200" s="19">
        <v>2010.0</v>
      </c>
      <c r="G200" s="19">
        <v>8.8</v>
      </c>
      <c r="H200" s="16">
        <v>8.448</v>
      </c>
      <c r="I200" s="16">
        <v>18471.816000000003</v>
      </c>
      <c r="J200" s="16">
        <v>65440.76000000001</v>
      </c>
      <c r="K200" s="16">
        <v>216.12800000000001</v>
      </c>
      <c r="L200" s="16">
        <v>2844.6880000000006</v>
      </c>
      <c r="M200" s="16">
        <v>19.096000000000004</v>
      </c>
      <c r="N200" s="16">
        <v>13.200000000000001</v>
      </c>
      <c r="O200" s="16">
        <v>27.632</v>
      </c>
      <c r="P200" s="16">
        <v>33.0</v>
      </c>
      <c r="Q200" s="17" t="str">
        <f t="shared" si="1"/>
        <v>1.194267516</v>
      </c>
      <c r="R200" s="17" t="str">
        <f t="shared" si="2"/>
        <v>2.260416667</v>
      </c>
      <c r="S200" s="17" t="str">
        <f t="shared" si="8"/>
        <v>2.093333333</v>
      </c>
      <c r="T200" s="17" t="s">
        <v>30</v>
      </c>
      <c r="U200" s="17" t="str">
        <f>IF(R200&gt;1,"Thermal Fault &lt;700c, thermal fault &gt;700c ")</f>
        <v>Thermal Fault &lt;700c, thermal fault &gt;700c </v>
      </c>
      <c r="V200" s="17" t="s">
        <v>37</v>
      </c>
      <c r="W200" s="17" t="str">
        <f t="shared" si="3"/>
        <v>1.194267516</v>
      </c>
      <c r="X200" s="17" t="str">
        <f t="shared" si="33"/>
        <v>2.260416667</v>
      </c>
      <c r="Y200" s="17" t="str">
        <f t="shared" si="9"/>
        <v>2.093333333</v>
      </c>
      <c r="Z200" s="17" t="str">
        <f t="shared" ref="Z200:Z202" si="176">IF(W200&gt;1,"Discharge of Low Energy,  ",IF(W200&lt;0.1,"Thermal  Fault&gt; 300c and&lt;700 c"))</f>
        <v>Discharge of Low Energy,  </v>
      </c>
      <c r="AA200" s="17" t="str">
        <f>IF(X200&lt;0.1,"Partial Discharges, ",IF(X200&gt;1,"Thermal  Fault &gt;300c and&lt;700 and &gt;700 c"))</f>
        <v>Thermal  Fault &gt;300c and&lt;700 and &gt;700 c</v>
      </c>
      <c r="AB200" s="17" t="str">
        <f t="shared" si="175"/>
        <v>Thermal  Fault  &gt;700 c</v>
      </c>
      <c r="AC200" s="17" t="str">
        <f t="shared" si="5"/>
        <v>2.260416667</v>
      </c>
      <c r="AD200" s="18" t="str">
        <f t="shared" si="10"/>
        <v>1.194267516</v>
      </c>
      <c r="AE200" s="17" t="str">
        <f t="shared" si="6"/>
        <v>1.728110599</v>
      </c>
      <c r="AF200" s="17" t="str">
        <f t="shared" si="11"/>
        <v>0.4</v>
      </c>
      <c r="AG200" s="17" t="str">
        <f>IF(AC200&gt;1,"Thermal Decomposition, ",IF(AC200&lt;0.1,"Corona,Arching"))</f>
        <v>Thermal Decomposition, </v>
      </c>
      <c r="AH200" s="17" t="str">
        <f t="shared" si="68"/>
        <v>Arching</v>
      </c>
      <c r="AI200" s="17" t="str">
        <f t="shared" si="16"/>
        <v>Arching</v>
      </c>
      <c r="AJ200" s="17" t="str">
        <f t="shared" si="7"/>
        <v>FALSE</v>
      </c>
    </row>
    <row r="201" ht="12.75" customHeight="1">
      <c r="A201" s="11">
        <v>199.0</v>
      </c>
      <c r="B201" s="14" t="s">
        <v>194</v>
      </c>
      <c r="C201" s="14" t="s">
        <v>40</v>
      </c>
      <c r="D201" s="14" t="s">
        <v>190</v>
      </c>
      <c r="E201" s="14" t="s">
        <v>93</v>
      </c>
      <c r="F201" s="14">
        <v>2006.0</v>
      </c>
      <c r="G201" s="19">
        <v>7.6</v>
      </c>
      <c r="H201" s="16">
        <v>145.31199999999998</v>
      </c>
      <c r="I201" s="16">
        <v>13909.823999999997</v>
      </c>
      <c r="J201" s="16">
        <v>59298.62</v>
      </c>
      <c r="K201" s="16">
        <v>146.29999999999998</v>
      </c>
      <c r="L201" s="16">
        <v>1569.0199999999998</v>
      </c>
      <c r="M201" s="16">
        <v>65.28399999999999</v>
      </c>
      <c r="N201" s="16">
        <v>13.527999999999999</v>
      </c>
      <c r="O201" s="16">
        <v>51.528</v>
      </c>
      <c r="P201" s="16">
        <v>183.464</v>
      </c>
      <c r="Q201" s="17" t="str">
        <f t="shared" si="1"/>
        <v>3.560471976</v>
      </c>
      <c r="R201" s="17" t="str">
        <f t="shared" si="2"/>
        <v>0.4492677824</v>
      </c>
      <c r="S201" s="17" t="str">
        <f t="shared" si="8"/>
        <v>3.808988764</v>
      </c>
      <c r="T201" s="17" t="s">
        <v>30</v>
      </c>
      <c r="U201" s="17" t="s">
        <v>31</v>
      </c>
      <c r="V201" s="17" t="str">
        <f t="shared" ref="V201:V204" si="177">IF(S201&lt;1,"Partial discharge, Normal ",IF(S201&gt;3,"Arching,Thermal  Fault &gt; 700 c"))</f>
        <v>Arching,Thermal  Fault &gt; 700 c</v>
      </c>
      <c r="W201" s="17" t="str">
        <f t="shared" si="3"/>
        <v>3.560471976</v>
      </c>
      <c r="X201" s="17" t="str">
        <f t="shared" si="33"/>
        <v>0.4492677824</v>
      </c>
      <c r="Y201" s="17" t="str">
        <f t="shared" si="9"/>
        <v>3.808988764</v>
      </c>
      <c r="Z201" s="17" t="str">
        <f t="shared" si="176"/>
        <v>Discharge of Low Energy,  </v>
      </c>
      <c r="AA201" s="17" t="s">
        <v>34</v>
      </c>
      <c r="AB201" s="17" t="str">
        <f t="shared" si="175"/>
        <v>Thermal  Fault  &gt;700 c</v>
      </c>
      <c r="AC201" s="17" t="str">
        <f t="shared" si="5"/>
        <v>0.4492677824</v>
      </c>
      <c r="AD201" s="18" t="str">
        <f t="shared" si="10"/>
        <v>3.560471976</v>
      </c>
      <c r="AE201" s="17" t="str">
        <f t="shared" si="6"/>
        <v>2.81024447</v>
      </c>
      <c r="AF201" s="17" t="str">
        <f t="shared" si="11"/>
        <v>0.07373653687</v>
      </c>
      <c r="AG201" s="17" t="s">
        <v>30</v>
      </c>
      <c r="AH201" s="17" t="str">
        <f t="shared" si="68"/>
        <v>Arching</v>
      </c>
      <c r="AI201" s="17" t="str">
        <f t="shared" si="16"/>
        <v>Arching</v>
      </c>
      <c r="AJ201" s="17" t="str">
        <f t="shared" si="7"/>
        <v>Arching</v>
      </c>
    </row>
    <row r="202" ht="12.75" customHeight="1">
      <c r="A202" s="11">
        <v>200.0</v>
      </c>
      <c r="B202" s="14" t="s">
        <v>194</v>
      </c>
      <c r="C202" s="14" t="s">
        <v>40</v>
      </c>
      <c r="D202" s="14" t="s">
        <v>190</v>
      </c>
      <c r="E202" s="14" t="s">
        <v>93</v>
      </c>
      <c r="F202" s="14">
        <v>2006.0</v>
      </c>
      <c r="G202" s="19">
        <v>8.1</v>
      </c>
      <c r="H202" s="16">
        <v>125.874</v>
      </c>
      <c r="I202" s="16">
        <v>15483.393</v>
      </c>
      <c r="J202" s="16">
        <v>62494.73999999999</v>
      </c>
      <c r="K202" s="16">
        <v>95.98499999999999</v>
      </c>
      <c r="L202" s="16">
        <v>1004.076</v>
      </c>
      <c r="M202" s="16">
        <v>46.007999999999996</v>
      </c>
      <c r="N202" s="16">
        <v>6.723</v>
      </c>
      <c r="O202" s="16">
        <v>131.301</v>
      </c>
      <c r="P202" s="16">
        <v>909.3059999999999</v>
      </c>
      <c r="Q202" s="17" t="str">
        <f t="shared" si="1"/>
        <v>6.925354719</v>
      </c>
      <c r="R202" s="17" t="str">
        <f t="shared" si="2"/>
        <v>0.3655083655</v>
      </c>
      <c r="S202" s="17" t="str">
        <f t="shared" si="8"/>
        <v>19.53012048</v>
      </c>
      <c r="T202" s="17" t="s">
        <v>30</v>
      </c>
      <c r="U202" s="17" t="s">
        <v>31</v>
      </c>
      <c r="V202" s="17" t="str">
        <f t="shared" si="177"/>
        <v>Arching,Thermal  Fault &gt; 700 c</v>
      </c>
      <c r="W202" s="17" t="str">
        <f t="shared" si="3"/>
        <v>6.925354719</v>
      </c>
      <c r="X202" s="17" t="str">
        <f t="shared" si="33"/>
        <v>0.3655083655</v>
      </c>
      <c r="Y202" s="17" t="str">
        <f t="shared" si="9"/>
        <v>19.53012048</v>
      </c>
      <c r="Z202" s="17" t="str">
        <f t="shared" si="176"/>
        <v>Discharge of Low Energy,  </v>
      </c>
      <c r="AA202" s="17" t="s">
        <v>34</v>
      </c>
      <c r="AB202" s="17" t="str">
        <f t="shared" si="175"/>
        <v>Thermal  Fault  &gt;700 c</v>
      </c>
      <c r="AC202" s="17" t="str">
        <f t="shared" si="5"/>
        <v>0.3655083655</v>
      </c>
      <c r="AD202" s="18" t="str">
        <f t="shared" si="10"/>
        <v>6.925354719</v>
      </c>
      <c r="AE202" s="17" t="str">
        <f t="shared" si="6"/>
        <v>19.76408451</v>
      </c>
      <c r="AF202" s="17" t="str">
        <f t="shared" si="11"/>
        <v>0.007393550686</v>
      </c>
      <c r="AG202" s="17" t="s">
        <v>30</v>
      </c>
      <c r="AH202" s="17" t="str">
        <f t="shared" si="68"/>
        <v>Arching</v>
      </c>
      <c r="AI202" s="17" t="str">
        <f t="shared" si="16"/>
        <v>Arching</v>
      </c>
      <c r="AJ202" s="17" t="str">
        <f t="shared" si="7"/>
        <v>Arching</v>
      </c>
    </row>
    <row r="203" ht="12.75" customHeight="1">
      <c r="A203" s="11">
        <v>201.0</v>
      </c>
      <c r="B203" s="19" t="s">
        <v>223</v>
      </c>
      <c r="C203" s="19" t="s">
        <v>224</v>
      </c>
      <c r="D203" s="19" t="s">
        <v>225</v>
      </c>
      <c r="E203" s="19" t="s">
        <v>122</v>
      </c>
      <c r="F203" s="19">
        <v>1994.0</v>
      </c>
      <c r="G203" s="19">
        <v>7.8</v>
      </c>
      <c r="H203" s="16">
        <v>1.95</v>
      </c>
      <c r="I203" s="16">
        <v>15432.144</v>
      </c>
      <c r="J203" s="16">
        <v>60395.244000000006</v>
      </c>
      <c r="K203" s="16">
        <v>129.402</v>
      </c>
      <c r="L203" s="16">
        <v>1204.71</v>
      </c>
      <c r="M203" s="16">
        <v>3.042</v>
      </c>
      <c r="N203" s="16">
        <v>2.34</v>
      </c>
      <c r="O203" s="16">
        <v>8.0</v>
      </c>
      <c r="P203" s="16">
        <v>5.0</v>
      </c>
      <c r="Q203" s="17" t="str">
        <f t="shared" si="1"/>
        <v>0.625</v>
      </c>
      <c r="R203" s="17" t="str">
        <f t="shared" si="2"/>
        <v>1.56</v>
      </c>
      <c r="S203" s="17" t="str">
        <f t="shared" si="8"/>
        <v>3.418803419</v>
      </c>
      <c r="T203" s="17" t="str">
        <f>IF(Q203&lt;1,"Partial discharge,Low Temprature thermal fault,")</f>
        <v>Partial discharge,Low Temprature thermal fault,</v>
      </c>
      <c r="U203" s="17" t="str">
        <f t="shared" ref="U203:U206" si="178">IF(R203&gt;1,"Thermal Fault &lt;700c, thermal fault &gt;700c ")</f>
        <v>Thermal Fault &lt;700c, thermal fault &gt;700c </v>
      </c>
      <c r="V203" s="17" t="str">
        <f t="shared" si="177"/>
        <v>Arching,Thermal  Fault &gt; 700 c</v>
      </c>
      <c r="W203" s="17" t="str">
        <f t="shared" si="3"/>
        <v>0.625</v>
      </c>
      <c r="X203" s="17" t="str">
        <f t="shared" si="33"/>
        <v>1.56</v>
      </c>
      <c r="Y203" s="17" t="str">
        <f t="shared" si="9"/>
        <v>3.418803419</v>
      </c>
      <c r="Z203" s="17" t="s">
        <v>34</v>
      </c>
      <c r="AA203" s="17" t="str">
        <f t="shared" ref="AA203:AA206" si="179">IF(X203&lt;0.1,"Partial Discharges, ",IF(X203&gt;1,"Thermal  Fault &gt;300c and&lt;700 and &gt;700 c"))</f>
        <v>Thermal  Fault &gt;300c and&lt;700 and &gt;700 c</v>
      </c>
      <c r="AB203" s="17" t="str">
        <f t="shared" si="175"/>
        <v>Thermal  Fault  &gt;700 c</v>
      </c>
      <c r="AC203" s="17" t="str">
        <f t="shared" si="5"/>
        <v>1.56</v>
      </c>
      <c r="AD203" s="18" t="str">
        <f t="shared" si="10"/>
        <v>0.625</v>
      </c>
      <c r="AE203" s="17" t="str">
        <f t="shared" si="6"/>
        <v>1.64365549</v>
      </c>
      <c r="AF203" s="17" t="str">
        <f t="shared" si="11"/>
        <v>0.468</v>
      </c>
      <c r="AG203" s="17" t="str">
        <f t="shared" ref="AG203:AG206" si="180">IF(AC203&gt;1,"Thermal Decomposition, ",IF(AC203&lt;0.1,"Corona,Arching"))</f>
        <v>Thermal Decomposition, </v>
      </c>
      <c r="AH203" s="17" t="str">
        <f t="shared" si="68"/>
        <v>Thermal Decomposition, </v>
      </c>
      <c r="AI203" s="17" t="str">
        <f t="shared" si="16"/>
        <v>Arching</v>
      </c>
      <c r="AJ203" s="17" t="str">
        <f t="shared" si="7"/>
        <v>Thermal Decomposition,corona </v>
      </c>
    </row>
    <row r="204" ht="12.75" customHeight="1">
      <c r="A204" s="11">
        <v>202.0</v>
      </c>
      <c r="B204" s="19" t="s">
        <v>226</v>
      </c>
      <c r="C204" s="19" t="s">
        <v>224</v>
      </c>
      <c r="D204" s="19" t="s">
        <v>225</v>
      </c>
      <c r="E204" s="19" t="s">
        <v>122</v>
      </c>
      <c r="F204" s="19">
        <v>1995.0</v>
      </c>
      <c r="G204" s="19">
        <v>8.5</v>
      </c>
      <c r="H204" s="16">
        <v>4.675</v>
      </c>
      <c r="I204" s="16">
        <v>15901.460000000001</v>
      </c>
      <c r="J204" s="16">
        <v>65937.30500000001</v>
      </c>
      <c r="K204" s="16">
        <v>189.125</v>
      </c>
      <c r="L204" s="16">
        <v>1781.26</v>
      </c>
      <c r="M204" s="16">
        <v>5.355</v>
      </c>
      <c r="N204" s="16">
        <v>9.0</v>
      </c>
      <c r="O204" s="16">
        <v>5.0</v>
      </c>
      <c r="P204" s="16">
        <v>7.0</v>
      </c>
      <c r="Q204" s="17" t="str">
        <f t="shared" si="1"/>
        <v>1.4</v>
      </c>
      <c r="R204" s="17" t="str">
        <f t="shared" si="2"/>
        <v>1.145454545</v>
      </c>
      <c r="S204" s="17" t="str">
        <f t="shared" si="8"/>
        <v>0.5555555556</v>
      </c>
      <c r="T204" s="17" t="s">
        <v>30</v>
      </c>
      <c r="U204" s="17" t="str">
        <f t="shared" si="178"/>
        <v>Thermal Fault &lt;700c, thermal fault &gt;700c </v>
      </c>
      <c r="V204" s="17" t="str">
        <f t="shared" si="177"/>
        <v>Partial discharge, Normal </v>
      </c>
      <c r="W204" s="17" t="str">
        <f t="shared" si="3"/>
        <v>1.4</v>
      </c>
      <c r="X204" s="17" t="str">
        <f t="shared" si="33"/>
        <v>1.145454545</v>
      </c>
      <c r="Y204" s="17" t="str">
        <f t="shared" si="9"/>
        <v>0.5555555556</v>
      </c>
      <c r="Z204" s="17" t="str">
        <f t="shared" ref="Z204:Z206" si="181">IF(W204&gt;1,"Discharge of Low Energy,  ",IF(W204&lt;0.1,"Thermal  Fault&gt; 300c and&lt;700 c"))</f>
        <v>Discharge of Low Energy,  </v>
      </c>
      <c r="AA204" s="17" t="str">
        <f t="shared" si="179"/>
        <v>Thermal  Fault &gt;300c and&lt;700 and &gt;700 c</v>
      </c>
      <c r="AB204" s="17" t="s">
        <v>107</v>
      </c>
      <c r="AC204" s="17" t="str">
        <f t="shared" si="5"/>
        <v>1.145454545</v>
      </c>
      <c r="AD204" s="18" t="str">
        <f t="shared" si="10"/>
        <v>1.4</v>
      </c>
      <c r="AE204" s="17" t="str">
        <f t="shared" si="6"/>
        <v>1.307189542</v>
      </c>
      <c r="AF204" s="17" t="str">
        <f t="shared" si="11"/>
        <v>1.285714286</v>
      </c>
      <c r="AG204" s="17" t="str">
        <f t="shared" si="180"/>
        <v>Thermal Decomposition, </v>
      </c>
      <c r="AH204" s="17" t="str">
        <f t="shared" si="68"/>
        <v>Arching</v>
      </c>
      <c r="AI204" s="17" t="str">
        <f t="shared" si="16"/>
        <v>Arching</v>
      </c>
      <c r="AJ204" s="17" t="str">
        <f t="shared" si="7"/>
        <v>Thermal Decomposition,corona </v>
      </c>
    </row>
    <row r="205" ht="12.75" customHeight="1">
      <c r="A205" s="11">
        <v>203.0</v>
      </c>
      <c r="B205" s="19" t="s">
        <v>227</v>
      </c>
      <c r="C205" s="19" t="s">
        <v>224</v>
      </c>
      <c r="D205" s="19" t="s">
        <v>225</v>
      </c>
      <c r="E205" s="19" t="s">
        <v>122</v>
      </c>
      <c r="F205" s="19">
        <v>1995.0</v>
      </c>
      <c r="G205" s="19">
        <v>8.5</v>
      </c>
      <c r="H205" s="16">
        <v>5.865</v>
      </c>
      <c r="I205" s="16">
        <v>16277.585</v>
      </c>
      <c r="J205" s="16">
        <v>64988.10999999999</v>
      </c>
      <c r="K205" s="16">
        <v>206.46499999999997</v>
      </c>
      <c r="L205" s="16">
        <v>2308.09</v>
      </c>
      <c r="M205" s="16">
        <v>10.965</v>
      </c>
      <c r="N205" s="16">
        <v>2.125</v>
      </c>
      <c r="O205" s="16">
        <v>5.779999999999999</v>
      </c>
      <c r="P205" s="16">
        <v>8.0</v>
      </c>
      <c r="Q205" s="17" t="str">
        <f t="shared" si="1"/>
        <v>1.384083045</v>
      </c>
      <c r="R205" s="17" t="str">
        <f t="shared" si="2"/>
        <v>1.869565217</v>
      </c>
      <c r="S205" s="17" t="str">
        <f t="shared" si="8"/>
        <v>2.72</v>
      </c>
      <c r="T205" s="17" t="s">
        <v>30</v>
      </c>
      <c r="U205" s="17" t="str">
        <f t="shared" si="178"/>
        <v>Thermal Fault &lt;700c, thermal fault &gt;700c </v>
      </c>
      <c r="V205" s="17" t="s">
        <v>37</v>
      </c>
      <c r="W205" s="17" t="str">
        <f t="shared" si="3"/>
        <v>1.384083045</v>
      </c>
      <c r="X205" s="17" t="str">
        <f t="shared" si="33"/>
        <v>1.869565217</v>
      </c>
      <c r="Y205" s="17" t="str">
        <f t="shared" si="9"/>
        <v>2.72</v>
      </c>
      <c r="Z205" s="17" t="str">
        <f t="shared" si="181"/>
        <v>Discharge of Low Energy,  </v>
      </c>
      <c r="AA205" s="17" t="str">
        <f t="shared" si="179"/>
        <v>Thermal  Fault &gt;300c and&lt;700 and &gt;700 c</v>
      </c>
      <c r="AB205" s="17" t="str">
        <f t="shared" ref="AB205:AB207" si="182">IF(Y205&lt;0.2,"Partial Discharges, ",IF(Y205&gt;1,"Thermal  Fault  &gt;700 c"))</f>
        <v>Thermal  Fault  &gt;700 c</v>
      </c>
      <c r="AC205" s="17" t="str">
        <f t="shared" si="5"/>
        <v>1.869565217</v>
      </c>
      <c r="AD205" s="18" t="str">
        <f t="shared" si="10"/>
        <v>1.384083045</v>
      </c>
      <c r="AE205" s="17" t="str">
        <f t="shared" si="6"/>
        <v>0.7295941632</v>
      </c>
      <c r="AF205" s="17" t="str">
        <f t="shared" si="11"/>
        <v>0.265625</v>
      </c>
      <c r="AG205" s="17" t="str">
        <f t="shared" si="180"/>
        <v>Thermal Decomposition, </v>
      </c>
      <c r="AH205" s="17" t="str">
        <f t="shared" si="68"/>
        <v>Arching</v>
      </c>
      <c r="AI205" s="17" t="str">
        <f t="shared" si="16"/>
        <v>Arching</v>
      </c>
      <c r="AJ205" s="17" t="str">
        <f t="shared" si="7"/>
        <v>Arching</v>
      </c>
    </row>
    <row r="206" ht="12.75" customHeight="1">
      <c r="A206" s="11">
        <v>204.0</v>
      </c>
      <c r="B206" s="19" t="s">
        <v>228</v>
      </c>
      <c r="C206" s="19" t="s">
        <v>224</v>
      </c>
      <c r="D206" s="19" t="s">
        <v>225</v>
      </c>
      <c r="E206" s="19" t="s">
        <v>106</v>
      </c>
      <c r="F206" s="19">
        <v>1995.0</v>
      </c>
      <c r="G206" s="19">
        <v>7.6</v>
      </c>
      <c r="H206" s="16">
        <v>4.9399999999999995</v>
      </c>
      <c r="I206" s="16">
        <v>15187.003999999999</v>
      </c>
      <c r="J206" s="16">
        <v>57208.39199999999</v>
      </c>
      <c r="K206" s="16">
        <v>222.376</v>
      </c>
      <c r="L206" s="16">
        <v>2773.696</v>
      </c>
      <c r="M206" s="16">
        <v>7.22</v>
      </c>
      <c r="N206" s="16">
        <v>5.167999999999999</v>
      </c>
      <c r="O206" s="16">
        <v>8.0</v>
      </c>
      <c r="P206" s="16">
        <v>9.0</v>
      </c>
      <c r="Q206" s="17" t="str">
        <f t="shared" si="1"/>
        <v>1.125</v>
      </c>
      <c r="R206" s="17" t="str">
        <f t="shared" si="2"/>
        <v>1.461538462</v>
      </c>
      <c r="S206" s="17" t="str">
        <f t="shared" si="8"/>
        <v>1.547987616</v>
      </c>
      <c r="T206" s="17" t="s">
        <v>30</v>
      </c>
      <c r="U206" s="17" t="str">
        <f t="shared" si="178"/>
        <v>Thermal Fault &lt;700c, thermal fault &gt;700c </v>
      </c>
      <c r="V206" s="17" t="s">
        <v>37</v>
      </c>
      <c r="W206" s="17" t="str">
        <f t="shared" si="3"/>
        <v>1.125</v>
      </c>
      <c r="X206" s="17" t="str">
        <f t="shared" si="33"/>
        <v>1.461538462</v>
      </c>
      <c r="Y206" s="17" t="str">
        <f t="shared" si="9"/>
        <v>1.547987616</v>
      </c>
      <c r="Z206" s="17" t="str">
        <f t="shared" si="181"/>
        <v>Discharge of Low Energy,  </v>
      </c>
      <c r="AA206" s="17" t="str">
        <f t="shared" si="179"/>
        <v>Thermal  Fault &gt;300c and&lt;700 and &gt;700 c</v>
      </c>
      <c r="AB206" s="17" t="str">
        <f t="shared" si="182"/>
        <v>Thermal  Fault  &gt;700 c</v>
      </c>
      <c r="AC206" s="17" t="str">
        <f t="shared" si="5"/>
        <v>1.461538462</v>
      </c>
      <c r="AD206" s="18" t="str">
        <f t="shared" si="10"/>
        <v>1.125</v>
      </c>
      <c r="AE206" s="17" t="str">
        <f t="shared" si="6"/>
        <v>1.246537396</v>
      </c>
      <c r="AF206" s="17" t="str">
        <f t="shared" si="11"/>
        <v>0.5742222222</v>
      </c>
      <c r="AG206" s="17" t="str">
        <f t="shared" si="180"/>
        <v>Thermal Decomposition, </v>
      </c>
      <c r="AH206" s="17" t="str">
        <f t="shared" si="68"/>
        <v>Arching</v>
      </c>
      <c r="AI206" s="17" t="str">
        <f t="shared" si="16"/>
        <v>Arching</v>
      </c>
      <c r="AJ206" s="17" t="str">
        <f t="shared" si="7"/>
        <v>Thermal Decomposition,corona </v>
      </c>
    </row>
    <row r="207" ht="12.75" customHeight="1">
      <c r="A207" s="11">
        <v>205.0</v>
      </c>
      <c r="B207" s="19" t="s">
        <v>155</v>
      </c>
      <c r="C207" s="19" t="s">
        <v>224</v>
      </c>
      <c r="D207" s="19" t="s">
        <v>225</v>
      </c>
      <c r="E207" s="19" t="s">
        <v>106</v>
      </c>
      <c r="F207" s="19">
        <v>1995.0</v>
      </c>
      <c r="G207" s="19">
        <v>7.8</v>
      </c>
      <c r="H207" s="16">
        <v>5.069999999999999</v>
      </c>
      <c r="I207" s="16">
        <v>15828.072</v>
      </c>
      <c r="J207" s="16">
        <v>58913.088</v>
      </c>
      <c r="K207" s="16">
        <v>209.50799999999998</v>
      </c>
      <c r="L207" s="16">
        <v>2646.15</v>
      </c>
      <c r="M207" s="16">
        <v>4.134</v>
      </c>
      <c r="N207" s="16">
        <v>2.574</v>
      </c>
      <c r="O207" s="16">
        <v>8.0</v>
      </c>
      <c r="P207" s="16">
        <v>3.0</v>
      </c>
      <c r="Q207" s="17" t="str">
        <f t="shared" si="1"/>
        <v>0.375</v>
      </c>
      <c r="R207" s="17" t="str">
        <f t="shared" si="2"/>
        <v>0.8153846154</v>
      </c>
      <c r="S207" s="17" t="str">
        <f t="shared" si="8"/>
        <v>3.108003108</v>
      </c>
      <c r="T207" s="17" t="str">
        <f t="shared" ref="T207:T209" si="183">IF(Q207&lt;1,"Partial discharge,Low Temprature thermal fault,")</f>
        <v>Partial discharge,Low Temprature thermal fault,</v>
      </c>
      <c r="U207" s="17" t="s">
        <v>31</v>
      </c>
      <c r="V207" s="17" t="str">
        <f t="shared" ref="V207:V208" si="184">IF(S207&lt;1,"Partial discharge, Normal ",IF(S207&gt;3,"Arching,Thermal  Fault &gt; 700 c"))</f>
        <v>Arching,Thermal  Fault &gt; 700 c</v>
      </c>
      <c r="W207" s="17" t="str">
        <f t="shared" si="3"/>
        <v>0.375</v>
      </c>
      <c r="X207" s="17" t="str">
        <f t="shared" si="33"/>
        <v>0.8153846154</v>
      </c>
      <c r="Y207" s="17" t="str">
        <f t="shared" si="9"/>
        <v>3.108003108</v>
      </c>
      <c r="Z207" s="17" t="s">
        <v>34</v>
      </c>
      <c r="AA207" s="17" t="s">
        <v>34</v>
      </c>
      <c r="AB207" s="17" t="str">
        <f t="shared" si="182"/>
        <v>Thermal  Fault  &gt;700 c</v>
      </c>
      <c r="AC207" s="17" t="str">
        <f t="shared" si="5"/>
        <v>0.8153846154</v>
      </c>
      <c r="AD207" s="18" t="str">
        <f t="shared" si="10"/>
        <v>0.375</v>
      </c>
      <c r="AE207" s="17" t="str">
        <f t="shared" si="6"/>
        <v>0.7256894049</v>
      </c>
      <c r="AF207" s="17" t="str">
        <f t="shared" si="11"/>
        <v>0.858</v>
      </c>
      <c r="AG207" s="17" t="s">
        <v>30</v>
      </c>
      <c r="AH207" s="17" t="str">
        <f t="shared" si="68"/>
        <v>Thermal Decomposition, </v>
      </c>
      <c r="AI207" s="17" t="str">
        <f t="shared" si="16"/>
        <v>Arching</v>
      </c>
      <c r="AJ207" s="17" t="str">
        <f t="shared" si="7"/>
        <v>Thermal Decomposition,corona </v>
      </c>
    </row>
    <row r="208" ht="12.75" customHeight="1">
      <c r="A208" s="11">
        <v>206.0</v>
      </c>
      <c r="B208" s="19" t="s">
        <v>229</v>
      </c>
      <c r="C208" s="19" t="s">
        <v>224</v>
      </c>
      <c r="D208" s="19" t="s">
        <v>230</v>
      </c>
      <c r="E208" s="19" t="s">
        <v>112</v>
      </c>
      <c r="F208" s="19">
        <v>2003.0</v>
      </c>
      <c r="G208" s="24">
        <v>8.0</v>
      </c>
      <c r="H208" s="16">
        <v>4.64</v>
      </c>
      <c r="I208" s="16">
        <v>15827.119999999999</v>
      </c>
      <c r="J208" s="16">
        <v>60442.63999999999</v>
      </c>
      <c r="K208" s="16">
        <v>225.76</v>
      </c>
      <c r="L208" s="16">
        <v>2421.92</v>
      </c>
      <c r="M208" s="16">
        <v>3.04</v>
      </c>
      <c r="N208" s="16">
        <v>11.0</v>
      </c>
      <c r="O208" s="16">
        <v>7.0</v>
      </c>
      <c r="P208" s="16">
        <v>6.0</v>
      </c>
      <c r="Q208" s="17" t="str">
        <f t="shared" si="1"/>
        <v>0.8571428571</v>
      </c>
      <c r="R208" s="17" t="str">
        <f t="shared" si="2"/>
        <v>0.6551724138</v>
      </c>
      <c r="S208" s="17" t="str">
        <f t="shared" si="8"/>
        <v>0.6363636364</v>
      </c>
      <c r="T208" s="17" t="str">
        <f t="shared" si="183"/>
        <v>Partial discharge,Low Temprature thermal fault,</v>
      </c>
      <c r="U208" s="17" t="s">
        <v>31</v>
      </c>
      <c r="V208" s="17" t="str">
        <f t="shared" si="184"/>
        <v>Partial discharge, Normal </v>
      </c>
      <c r="W208" s="17" t="str">
        <f t="shared" si="3"/>
        <v>0.8571428571</v>
      </c>
      <c r="X208" s="17" t="str">
        <f t="shared" si="33"/>
        <v>0.6551724138</v>
      </c>
      <c r="Y208" s="17" t="str">
        <f t="shared" si="9"/>
        <v>0.6363636364</v>
      </c>
      <c r="Z208" s="17" t="s">
        <v>34</v>
      </c>
      <c r="AA208" s="17" t="s">
        <v>34</v>
      </c>
      <c r="AB208" s="17" t="s">
        <v>107</v>
      </c>
      <c r="AC208" s="17" t="str">
        <f t="shared" si="5"/>
        <v>0.6551724138</v>
      </c>
      <c r="AD208" s="18" t="str">
        <f t="shared" si="10"/>
        <v>0.8571428571</v>
      </c>
      <c r="AE208" s="17" t="str">
        <f t="shared" si="6"/>
        <v>1.973684211</v>
      </c>
      <c r="AF208" s="17" t="str">
        <f t="shared" si="11"/>
        <v>1.833333333</v>
      </c>
      <c r="AG208" s="17" t="s">
        <v>30</v>
      </c>
      <c r="AH208" s="17" t="str">
        <f t="shared" si="68"/>
        <v>Arching</v>
      </c>
      <c r="AI208" s="17" t="str">
        <f t="shared" si="16"/>
        <v>Arching</v>
      </c>
      <c r="AJ208" s="17" t="str">
        <f t="shared" si="7"/>
        <v>Thermal Decomposition,corona </v>
      </c>
    </row>
    <row r="209" ht="12.75" customHeight="1">
      <c r="A209" s="11">
        <v>207.0</v>
      </c>
      <c r="B209" s="19" t="s">
        <v>231</v>
      </c>
      <c r="C209" s="19" t="s">
        <v>224</v>
      </c>
      <c r="D209" s="19" t="s">
        <v>230</v>
      </c>
      <c r="E209" s="19" t="s">
        <v>112</v>
      </c>
      <c r="F209" s="19">
        <v>2003.0</v>
      </c>
      <c r="G209" s="24">
        <v>8.0</v>
      </c>
      <c r="H209" s="16">
        <v>8.959999999999999</v>
      </c>
      <c r="I209" s="16">
        <v>14761.76</v>
      </c>
      <c r="J209" s="16">
        <v>62256.079999999994</v>
      </c>
      <c r="K209" s="16">
        <v>202.32000000000002</v>
      </c>
      <c r="L209" s="16">
        <v>2043.92</v>
      </c>
      <c r="M209" s="16">
        <v>3.2</v>
      </c>
      <c r="N209" s="16">
        <v>6.0</v>
      </c>
      <c r="O209" s="16">
        <v>9.0</v>
      </c>
      <c r="P209" s="16">
        <v>8.0</v>
      </c>
      <c r="Q209" s="17" t="str">
        <f t="shared" si="1"/>
        <v>0.8888888889</v>
      </c>
      <c r="R209" s="17" t="str">
        <f t="shared" si="2"/>
        <v>0.3571428571</v>
      </c>
      <c r="S209" s="17" t="str">
        <f t="shared" si="8"/>
        <v>1.5</v>
      </c>
      <c r="T209" s="17" t="str">
        <f t="shared" si="183"/>
        <v>Partial discharge,Low Temprature thermal fault,</v>
      </c>
      <c r="U209" s="17" t="s">
        <v>31</v>
      </c>
      <c r="V209" s="17" t="s">
        <v>37</v>
      </c>
      <c r="W209" s="17" t="str">
        <f t="shared" si="3"/>
        <v>0.8888888889</v>
      </c>
      <c r="X209" s="17" t="str">
        <f t="shared" si="33"/>
        <v>0.3571428571</v>
      </c>
      <c r="Y209" s="17" t="str">
        <f t="shared" si="9"/>
        <v>1.5</v>
      </c>
      <c r="Z209" s="17" t="s">
        <v>34</v>
      </c>
      <c r="AA209" s="17" t="s">
        <v>34</v>
      </c>
      <c r="AB209" s="17" t="str">
        <f t="shared" ref="AB209:AB210" si="185">IF(Y209&lt;0.2,"Partial Discharges, ",IF(Y209&gt;1,"Thermal  Fault  &gt;700 c"))</f>
        <v>Thermal  Fault  &gt;700 c</v>
      </c>
      <c r="AC209" s="17" t="str">
        <f t="shared" si="5"/>
        <v>0.3571428571</v>
      </c>
      <c r="AD209" s="18" t="str">
        <f t="shared" si="10"/>
        <v>0.8888888889</v>
      </c>
      <c r="AE209" s="17" t="str">
        <f t="shared" si="6"/>
        <v>2.5</v>
      </c>
      <c r="AF209" s="17" t="str">
        <f t="shared" si="11"/>
        <v>0.75</v>
      </c>
      <c r="AG209" s="17" t="s">
        <v>30</v>
      </c>
      <c r="AH209" s="17" t="str">
        <f t="shared" si="68"/>
        <v>Arching</v>
      </c>
      <c r="AI209" s="17" t="str">
        <f t="shared" si="16"/>
        <v>Arching</v>
      </c>
      <c r="AJ209" s="17" t="str">
        <f t="shared" si="7"/>
        <v>Thermal Decomposition,corona </v>
      </c>
    </row>
    <row r="210" ht="12.75" customHeight="1">
      <c r="A210" s="11">
        <v>208.0</v>
      </c>
      <c r="B210" s="19" t="s">
        <v>135</v>
      </c>
      <c r="C210" s="19" t="s">
        <v>136</v>
      </c>
      <c r="D210" s="19" t="s">
        <v>137</v>
      </c>
      <c r="E210" s="19" t="s">
        <v>138</v>
      </c>
      <c r="F210" s="19">
        <v>2013.0</v>
      </c>
      <c r="G210" s="17">
        <v>7.6</v>
      </c>
      <c r="H210" s="16">
        <v>4.028</v>
      </c>
      <c r="I210" s="16">
        <v>13402.22</v>
      </c>
      <c r="J210" s="16">
        <v>61241.02799999999</v>
      </c>
      <c r="K210" s="16">
        <v>43.016</v>
      </c>
      <c r="L210" s="16">
        <v>463.448</v>
      </c>
      <c r="M210" s="16">
        <v>9.0</v>
      </c>
      <c r="N210" s="16">
        <v>8.0</v>
      </c>
      <c r="O210" s="16">
        <v>9.0</v>
      </c>
      <c r="P210" s="16">
        <v>9.0</v>
      </c>
      <c r="Q210" s="17" t="str">
        <f t="shared" si="1"/>
        <v>1</v>
      </c>
      <c r="R210" s="17" t="str">
        <f t="shared" si="2"/>
        <v>2.234359484</v>
      </c>
      <c r="S210" s="17" t="str">
        <f t="shared" si="8"/>
        <v>1.125</v>
      </c>
      <c r="T210" s="17" t="s">
        <v>30</v>
      </c>
      <c r="U210" s="17" t="str">
        <f>IF(R210&lt;0.1, "Partial discharge", "Low temperature thermal ")</f>
        <v>Low temperature thermal </v>
      </c>
      <c r="V210" s="17" t="s">
        <v>37</v>
      </c>
      <c r="W210" s="17" t="str">
        <f t="shared" si="3"/>
        <v>1</v>
      </c>
      <c r="X210" s="17" t="str">
        <f t="shared" si="33"/>
        <v>2.234359484</v>
      </c>
      <c r="Y210" s="17" t="str">
        <f t="shared" si="9"/>
        <v>1.125</v>
      </c>
      <c r="Z210" s="17" t="s">
        <v>34</v>
      </c>
      <c r="AA210" s="17" t="str">
        <f>IF(X210&lt;0.1,"Partial Discharges, ",IF(X210&gt;1,"Thermal  Fault &gt;300c and&lt;700 and &gt;700 c"))</f>
        <v>Thermal  Fault &gt;300c and&lt;700 and &gt;700 c</v>
      </c>
      <c r="AB210" s="17" t="str">
        <f t="shared" si="185"/>
        <v>Thermal  Fault  &gt;700 c</v>
      </c>
      <c r="AC210" s="17" t="str">
        <f t="shared" si="5"/>
        <v>2.234359484</v>
      </c>
      <c r="AD210" s="18" t="str">
        <f t="shared" si="10"/>
        <v>1</v>
      </c>
      <c r="AE210" s="17" t="str">
        <f t="shared" si="6"/>
        <v>1</v>
      </c>
      <c r="AF210" s="17" t="str">
        <f t="shared" si="11"/>
        <v>0.8888888889</v>
      </c>
      <c r="AG210" s="17" t="str">
        <f>IF(AC210&gt;1,"Thermal Decomposition, ",IF(AC210&lt;0.1,"Corona,Arching"))</f>
        <v>Thermal Decomposition, </v>
      </c>
      <c r="AH210" s="17" t="str">
        <f t="shared" si="68"/>
        <v>Arching</v>
      </c>
      <c r="AI210" s="17" t="str">
        <f t="shared" si="16"/>
        <v>Arching</v>
      </c>
      <c r="AJ210" s="17" t="str">
        <f t="shared" si="7"/>
        <v>Thermal Decomposition,corona </v>
      </c>
    </row>
    <row r="211" ht="12.75" customHeight="1">
      <c r="A211" s="11">
        <v>209.0</v>
      </c>
      <c r="B211" s="19" t="s">
        <v>139</v>
      </c>
      <c r="C211" s="19" t="s">
        <v>136</v>
      </c>
      <c r="D211" s="19" t="s">
        <v>137</v>
      </c>
      <c r="E211" s="19" t="s">
        <v>138</v>
      </c>
      <c r="F211" s="17">
        <v>2013.0</v>
      </c>
      <c r="G211" s="17">
        <v>7.9</v>
      </c>
      <c r="H211" s="16">
        <v>4.819</v>
      </c>
      <c r="I211" s="16">
        <v>15688.768000000002</v>
      </c>
      <c r="J211" s="16">
        <v>61898.94900000001</v>
      </c>
      <c r="K211" s="16">
        <v>48.901</v>
      </c>
      <c r="L211" s="16">
        <v>644.245</v>
      </c>
      <c r="M211" s="16">
        <v>1.185</v>
      </c>
      <c r="N211" s="16">
        <v>9.0</v>
      </c>
      <c r="O211" s="16">
        <v>8.0</v>
      </c>
      <c r="P211" s="16">
        <v>5.0</v>
      </c>
      <c r="Q211" s="17" t="str">
        <f t="shared" si="1"/>
        <v>0.625</v>
      </c>
      <c r="R211" s="17" t="str">
        <f t="shared" si="2"/>
        <v>0.2459016393</v>
      </c>
      <c r="S211" s="17" t="str">
        <f t="shared" si="8"/>
        <v>0.8888888889</v>
      </c>
      <c r="T211" s="17" t="str">
        <f t="shared" ref="T211:T212" si="186">IF(Q211&lt;1,"Partial discharge,Low Temprature thermal fault,")</f>
        <v>Partial discharge,Low Temprature thermal fault,</v>
      </c>
      <c r="U211" s="17" t="s">
        <v>31</v>
      </c>
      <c r="V211" s="17" t="str">
        <f>IF(S211&lt;1,"Partial discharge, Normal ",IF(S211&gt;3,"Arching,Thermal  Fault &gt; 700 c"))</f>
        <v>Partial discharge, Normal </v>
      </c>
      <c r="W211" s="17" t="str">
        <f t="shared" si="3"/>
        <v>0.625</v>
      </c>
      <c r="X211" s="17" t="str">
        <f t="shared" si="33"/>
        <v>0.2459016393</v>
      </c>
      <c r="Y211" s="17" t="str">
        <f t="shared" si="9"/>
        <v>0.8888888889</v>
      </c>
      <c r="Z211" s="17" t="s">
        <v>34</v>
      </c>
      <c r="AA211" s="17" t="s">
        <v>34</v>
      </c>
      <c r="AB211" s="17" t="s">
        <v>107</v>
      </c>
      <c r="AC211" s="17" t="str">
        <f t="shared" si="5"/>
        <v>0.2459016393</v>
      </c>
      <c r="AD211" s="18" t="str">
        <f t="shared" si="10"/>
        <v>0.625</v>
      </c>
      <c r="AE211" s="17" t="str">
        <f t="shared" si="6"/>
        <v>4.219409283</v>
      </c>
      <c r="AF211" s="17" t="str">
        <f t="shared" si="11"/>
        <v>1.8</v>
      </c>
      <c r="AG211" s="17" t="s">
        <v>30</v>
      </c>
      <c r="AH211" s="17" t="str">
        <f t="shared" si="68"/>
        <v>Thermal Decomposition, </v>
      </c>
      <c r="AI211" s="17" t="str">
        <f t="shared" si="16"/>
        <v>Arching</v>
      </c>
      <c r="AJ211" s="17" t="str">
        <f t="shared" si="7"/>
        <v>Thermal Decomposition,corona </v>
      </c>
    </row>
    <row r="212" ht="12.75" customHeight="1">
      <c r="A212" s="11">
        <v>210.0</v>
      </c>
      <c r="B212" s="19" t="s">
        <v>140</v>
      </c>
      <c r="C212" s="19" t="s">
        <v>136</v>
      </c>
      <c r="D212" s="19" t="s">
        <v>137</v>
      </c>
      <c r="E212" s="19" t="s">
        <v>138</v>
      </c>
      <c r="F212" s="17">
        <v>2013.0</v>
      </c>
      <c r="G212" s="17">
        <v>8.1</v>
      </c>
      <c r="H212" s="16">
        <v>4.6979999999999995</v>
      </c>
      <c r="I212" s="16">
        <v>14130.636299999998</v>
      </c>
      <c r="J212" s="16">
        <v>65215.0683</v>
      </c>
      <c r="K212" s="16">
        <v>56.862</v>
      </c>
      <c r="L212" s="16">
        <v>585.225</v>
      </c>
      <c r="M212" s="16">
        <v>3.9689999999999994</v>
      </c>
      <c r="N212" s="16">
        <v>8.0</v>
      </c>
      <c r="O212" s="16">
        <v>8.0</v>
      </c>
      <c r="P212" s="16">
        <v>6.0</v>
      </c>
      <c r="Q212" s="17" t="str">
        <f t="shared" si="1"/>
        <v>0.75</v>
      </c>
      <c r="R212" s="17" t="str">
        <f t="shared" si="2"/>
        <v>0.8448275862</v>
      </c>
      <c r="S212" s="17" t="str">
        <f t="shared" si="8"/>
        <v>1</v>
      </c>
      <c r="T212" s="17" t="str">
        <f t="shared" si="186"/>
        <v>Partial discharge,Low Temprature thermal fault,</v>
      </c>
      <c r="U212" s="17" t="s">
        <v>31</v>
      </c>
      <c r="V212" s="17" t="s">
        <v>37</v>
      </c>
      <c r="W212" s="17" t="str">
        <f t="shared" si="3"/>
        <v>0.75</v>
      </c>
      <c r="X212" s="17" t="str">
        <f t="shared" si="33"/>
        <v>0.8448275862</v>
      </c>
      <c r="Y212" s="17" t="str">
        <f t="shared" si="9"/>
        <v>1</v>
      </c>
      <c r="Z212" s="17" t="s">
        <v>34</v>
      </c>
      <c r="AA212" s="17" t="s">
        <v>34</v>
      </c>
      <c r="AB212" s="17" t="s">
        <v>107</v>
      </c>
      <c r="AC212" s="17" t="str">
        <f t="shared" si="5"/>
        <v>0.8448275862</v>
      </c>
      <c r="AD212" s="18" t="str">
        <f t="shared" si="10"/>
        <v>0.75</v>
      </c>
      <c r="AE212" s="17" t="str">
        <f t="shared" si="6"/>
        <v>1.511715797</v>
      </c>
      <c r="AF212" s="17" t="str">
        <f t="shared" si="11"/>
        <v>1.333333333</v>
      </c>
      <c r="AG212" s="17" t="s">
        <v>30</v>
      </c>
      <c r="AH212" s="17" t="str">
        <f t="shared" si="68"/>
        <v>FALSE</v>
      </c>
      <c r="AI212" s="17" t="str">
        <f t="shared" si="16"/>
        <v>Arching</v>
      </c>
      <c r="AJ212" s="17" t="str">
        <f t="shared" si="7"/>
        <v>Thermal Decomposition,corona </v>
      </c>
    </row>
    <row r="213" ht="12.75" customHeight="1">
      <c r="A213" s="11">
        <v>211.0</v>
      </c>
      <c r="B213" s="19" t="s">
        <v>141</v>
      </c>
      <c r="C213" s="19" t="s">
        <v>136</v>
      </c>
      <c r="D213" s="19" t="s">
        <v>142</v>
      </c>
      <c r="E213" s="19" t="s">
        <v>138</v>
      </c>
      <c r="F213" s="17">
        <v>2012.0</v>
      </c>
      <c r="G213" s="25">
        <v>8.0</v>
      </c>
      <c r="H213" s="16">
        <v>4.08</v>
      </c>
      <c r="I213" s="16">
        <v>15685.44</v>
      </c>
      <c r="J213" s="16">
        <v>62607.439999999995</v>
      </c>
      <c r="K213" s="16">
        <v>102.64</v>
      </c>
      <c r="L213" s="16">
        <v>1037.52</v>
      </c>
      <c r="M213" s="16">
        <v>8.24</v>
      </c>
      <c r="N213" s="17">
        <v>6.0</v>
      </c>
      <c r="O213" s="16">
        <v>2.88</v>
      </c>
      <c r="P213" s="16">
        <v>8.0</v>
      </c>
      <c r="Q213" s="17" t="str">
        <f t="shared" si="1"/>
        <v>2.777777778</v>
      </c>
      <c r="R213" s="17" t="str">
        <f t="shared" si="2"/>
        <v>2.019607843</v>
      </c>
      <c r="S213" s="17" t="str">
        <f t="shared" si="8"/>
        <v>0.48</v>
      </c>
      <c r="T213" s="17" t="s">
        <v>30</v>
      </c>
      <c r="U213" s="17" t="str">
        <f t="shared" ref="U213:U215" si="187">IF(R213&gt;1,"Thermal Fault &lt;700c, thermal fault &gt;700c ")</f>
        <v>Thermal Fault &lt;700c, thermal fault &gt;700c </v>
      </c>
      <c r="V213" s="17" t="str">
        <f t="shared" ref="V213:V217" si="188">IF(S213&lt;1,"Partial discharge, Normal ",IF(S213&gt;3,"Arching,Thermal  Fault &gt; 700 c"))</f>
        <v>Partial discharge, Normal </v>
      </c>
      <c r="W213" s="17" t="str">
        <f t="shared" si="3"/>
        <v>2.777777778</v>
      </c>
      <c r="X213" s="17" t="str">
        <f t="shared" si="33"/>
        <v>2.019607843</v>
      </c>
      <c r="Y213" s="17" t="str">
        <f t="shared" si="9"/>
        <v>0.48</v>
      </c>
      <c r="Z213" s="17" t="str">
        <f t="shared" ref="Z213:Z220" si="189">IF(W213&gt;1,"Discharge of Low Energy,  ",IF(W213&lt;0.1,"Thermal  Fault&gt; 300c and&lt;700 c"))</f>
        <v>Discharge of Low Energy,  </v>
      </c>
      <c r="AA213" s="17" t="str">
        <f t="shared" ref="AA213:AA217" si="190">IF(X213&lt;0.1,"Partial Discharges, ",IF(X213&gt;1,"Thermal  Fault &gt;300c and&lt;700 and &gt;700 c"))</f>
        <v>Thermal  Fault &gt;300c and&lt;700 and &gt;700 c</v>
      </c>
      <c r="AB213" s="17" t="s">
        <v>107</v>
      </c>
      <c r="AC213" s="17" t="str">
        <f t="shared" si="5"/>
        <v>2.019607843</v>
      </c>
      <c r="AD213" s="18" t="str">
        <f t="shared" si="10"/>
        <v>2.777777778</v>
      </c>
      <c r="AE213" s="17" t="str">
        <f t="shared" si="6"/>
        <v>0.9708737864</v>
      </c>
      <c r="AF213" s="17" t="str">
        <f t="shared" si="11"/>
        <v>0.75</v>
      </c>
      <c r="AG213" s="17" t="str">
        <f t="shared" ref="AG213:AG217" si="191">IF(AC213&gt;1,"Thermal Decomposition, ",IF(AC213&lt;0.1,"Corona,Arching"))</f>
        <v>Thermal Decomposition, </v>
      </c>
      <c r="AH213" s="17" t="str">
        <f t="shared" si="68"/>
        <v>Arching</v>
      </c>
      <c r="AI213" s="17" t="str">
        <f t="shared" si="16"/>
        <v>Arching</v>
      </c>
      <c r="AJ213" s="17" t="str">
        <f t="shared" si="7"/>
        <v>Thermal Decomposition,corona </v>
      </c>
    </row>
    <row r="214" ht="12.75" customHeight="1">
      <c r="A214" s="11">
        <v>212.0</v>
      </c>
      <c r="B214" s="19" t="s">
        <v>143</v>
      </c>
      <c r="C214" s="19" t="s">
        <v>136</v>
      </c>
      <c r="D214" s="19" t="s">
        <v>142</v>
      </c>
      <c r="E214" s="19" t="s">
        <v>138</v>
      </c>
      <c r="F214" s="17">
        <v>2013.0</v>
      </c>
      <c r="G214" s="17">
        <v>8.1</v>
      </c>
      <c r="H214" s="16">
        <v>7.5329999999999995</v>
      </c>
      <c r="I214" s="16">
        <v>15342.047999999999</v>
      </c>
      <c r="J214" s="16">
        <v>63941.64299999999</v>
      </c>
      <c r="K214" s="16">
        <v>48.519</v>
      </c>
      <c r="L214" s="16">
        <v>538.893</v>
      </c>
      <c r="M214" s="16">
        <v>29.889</v>
      </c>
      <c r="N214" s="16">
        <v>12.0</v>
      </c>
      <c r="O214" s="16">
        <v>46.413</v>
      </c>
      <c r="P214" s="16">
        <v>4.0</v>
      </c>
      <c r="Q214" s="17" t="str">
        <f t="shared" si="1"/>
        <v>0.08618275052</v>
      </c>
      <c r="R214" s="17" t="str">
        <f t="shared" si="2"/>
        <v>3.967741935</v>
      </c>
      <c r="S214" s="17" t="str">
        <f t="shared" si="8"/>
        <v>3.86775</v>
      </c>
      <c r="T214" s="17" t="str">
        <f>IF(Q214&lt;1,"Partial discharge,Low Temprature thermal fault,")</f>
        <v>Partial discharge,Low Temprature thermal fault,</v>
      </c>
      <c r="U214" s="17" t="str">
        <f t="shared" si="187"/>
        <v>Thermal Fault &lt;700c, thermal fault &gt;700c </v>
      </c>
      <c r="V214" s="17" t="str">
        <f t="shared" si="188"/>
        <v>Arching,Thermal  Fault &gt; 700 c</v>
      </c>
      <c r="W214" s="17" t="str">
        <f t="shared" si="3"/>
        <v>0.08618275052</v>
      </c>
      <c r="X214" s="17" t="str">
        <f t="shared" si="33"/>
        <v>3.967741935</v>
      </c>
      <c r="Y214" s="17" t="str">
        <f t="shared" si="9"/>
        <v>3.86775</v>
      </c>
      <c r="Z214" s="17" t="str">
        <f t="shared" si="189"/>
        <v>Thermal  Fault&gt; 300c and&lt;700 c</v>
      </c>
      <c r="AA214" s="17" t="str">
        <f t="shared" si="190"/>
        <v>Thermal  Fault &gt;300c and&lt;700 and &gt;700 c</v>
      </c>
      <c r="AB214" s="17" t="str">
        <f>IF(Y214&lt;0.2,"Partial Discharges, ",IF(Y214&gt;1,"Thermal  Fault  &gt;700 c"))</f>
        <v>Thermal  Fault  &gt;700 c</v>
      </c>
      <c r="AC214" s="17" t="str">
        <f t="shared" si="5"/>
        <v>3.967741935</v>
      </c>
      <c r="AD214" s="18" t="str">
        <f t="shared" si="10"/>
        <v>0.08618275052</v>
      </c>
      <c r="AE214" s="17" t="str">
        <f t="shared" si="6"/>
        <v>0.1338284988</v>
      </c>
      <c r="AF214" s="17" t="str">
        <f t="shared" si="11"/>
        <v>3</v>
      </c>
      <c r="AG214" s="17" t="str">
        <f t="shared" si="191"/>
        <v>Thermal Decomposition, </v>
      </c>
      <c r="AH214" s="17" t="str">
        <f t="shared" si="68"/>
        <v>Thermal Decomposition, </v>
      </c>
      <c r="AI214" s="17" t="str">
        <f t="shared" si="16"/>
        <v>Thermal Decomposition,corona </v>
      </c>
      <c r="AJ214" s="17" t="str">
        <f t="shared" si="7"/>
        <v>Thermal Decomposition,corona </v>
      </c>
    </row>
    <row r="215" ht="12.75" customHeight="1">
      <c r="A215" s="11"/>
      <c r="B215" s="19" t="s">
        <v>145</v>
      </c>
      <c r="C215" s="19" t="s">
        <v>136</v>
      </c>
      <c r="D215" s="19" t="s">
        <v>142</v>
      </c>
      <c r="E215" s="19" t="s">
        <v>138</v>
      </c>
      <c r="F215" s="17">
        <v>2012.0</v>
      </c>
      <c r="G215" s="17">
        <v>8.5</v>
      </c>
      <c r="H215" s="16">
        <v>4.335</v>
      </c>
      <c r="I215" s="16">
        <v>16482.435</v>
      </c>
      <c r="J215" s="16">
        <v>67215.025</v>
      </c>
      <c r="K215" s="16">
        <v>55.67500000000001</v>
      </c>
      <c r="L215" s="16">
        <v>642.515</v>
      </c>
      <c r="M215" s="16">
        <v>4.76</v>
      </c>
      <c r="N215" s="16">
        <v>11.0</v>
      </c>
      <c r="O215" s="16">
        <v>7.0</v>
      </c>
      <c r="P215" s="16">
        <v>55.0</v>
      </c>
      <c r="Q215" s="17" t="str">
        <f t="shared" si="1"/>
        <v>7.857142857</v>
      </c>
      <c r="R215" s="17" t="str">
        <f t="shared" si="2"/>
        <v>1.098039216</v>
      </c>
      <c r="S215" s="17" t="str">
        <f t="shared" si="8"/>
        <v>0.6363636364</v>
      </c>
      <c r="T215" s="17" t="s">
        <v>30</v>
      </c>
      <c r="U215" s="17" t="str">
        <f t="shared" si="187"/>
        <v>Thermal Fault &lt;700c, thermal fault &gt;700c </v>
      </c>
      <c r="V215" s="17" t="str">
        <f t="shared" si="188"/>
        <v>Partial discharge, Normal </v>
      </c>
      <c r="W215" s="17" t="str">
        <f t="shared" si="3"/>
        <v>7.857142857</v>
      </c>
      <c r="X215" s="17" t="str">
        <f t="shared" si="33"/>
        <v>1.098039216</v>
      </c>
      <c r="Y215" s="17" t="str">
        <f t="shared" si="9"/>
        <v>0.6363636364</v>
      </c>
      <c r="Z215" s="17" t="str">
        <f t="shared" si="189"/>
        <v>Discharge of Low Energy,  </v>
      </c>
      <c r="AA215" s="17" t="str">
        <f t="shared" si="190"/>
        <v>Thermal  Fault &gt;300c and&lt;700 and &gt;700 c</v>
      </c>
      <c r="AB215" s="17" t="s">
        <v>107</v>
      </c>
      <c r="AC215" s="17" t="str">
        <f t="shared" si="5"/>
        <v>1.098039216</v>
      </c>
      <c r="AD215" s="18" t="str">
        <f t="shared" si="10"/>
        <v>7.857142857</v>
      </c>
      <c r="AE215" s="17" t="str">
        <f t="shared" si="6"/>
        <v>11.55462185</v>
      </c>
      <c r="AF215" s="17" t="str">
        <f t="shared" si="11"/>
        <v>0.2</v>
      </c>
      <c r="AG215" s="17" t="str">
        <f t="shared" si="191"/>
        <v>Thermal Decomposition, </v>
      </c>
      <c r="AH215" s="17" t="str">
        <f t="shared" si="68"/>
        <v>Arching</v>
      </c>
      <c r="AI215" s="17" t="str">
        <f t="shared" si="16"/>
        <v>Arching</v>
      </c>
      <c r="AJ215" s="17" t="str">
        <f t="shared" si="7"/>
        <v>Arching</v>
      </c>
    </row>
    <row r="216" ht="12.75" customHeight="1">
      <c r="A216" s="11">
        <v>214.0</v>
      </c>
      <c r="B216" s="19" t="s">
        <v>232</v>
      </c>
      <c r="C216" s="19" t="s">
        <v>82</v>
      </c>
      <c r="D216" s="17" t="s">
        <v>233</v>
      </c>
      <c r="E216" s="19" t="s">
        <v>234</v>
      </c>
      <c r="F216" s="17">
        <v>2021.0</v>
      </c>
      <c r="G216" s="17">
        <v>7.8</v>
      </c>
      <c r="H216" s="16">
        <v>0.9359999999999998</v>
      </c>
      <c r="I216" s="16">
        <v>14949.012000000002</v>
      </c>
      <c r="J216" s="16">
        <v>61968.348000000005</v>
      </c>
      <c r="K216" s="16">
        <v>54.28799999999999</v>
      </c>
      <c r="L216" s="16">
        <v>602.394</v>
      </c>
      <c r="M216" s="17">
        <v>8.0</v>
      </c>
      <c r="N216" s="17">
        <v>9.0</v>
      </c>
      <c r="O216" s="17">
        <v>8.0</v>
      </c>
      <c r="P216" s="17">
        <v>13.0</v>
      </c>
      <c r="Q216" s="17" t="str">
        <f t="shared" si="1"/>
        <v>1.625</v>
      </c>
      <c r="R216" s="17" t="str">
        <f t="shared" si="2"/>
        <v>8.547008547</v>
      </c>
      <c r="S216" s="17" t="str">
        <f t="shared" si="8"/>
        <v>0.8888888889</v>
      </c>
      <c r="T216" s="17" t="s">
        <v>30</v>
      </c>
      <c r="U216" s="17" t="str">
        <f>IF(R216&lt;0.1, "Partial discharge", "Low temperature thermal ")</f>
        <v>Low temperature thermal </v>
      </c>
      <c r="V216" s="17" t="str">
        <f t="shared" si="188"/>
        <v>Partial discharge, Normal </v>
      </c>
      <c r="W216" s="17" t="str">
        <f t="shared" si="3"/>
        <v>1.625</v>
      </c>
      <c r="X216" s="17" t="str">
        <f t="shared" si="33"/>
        <v>8.547008547</v>
      </c>
      <c r="Y216" s="17" t="str">
        <f t="shared" si="9"/>
        <v>0.8888888889</v>
      </c>
      <c r="Z216" s="17" t="str">
        <f t="shared" si="189"/>
        <v>Discharge of Low Energy,  </v>
      </c>
      <c r="AA216" s="17" t="str">
        <f t="shared" si="190"/>
        <v>Thermal  Fault &gt;300c and&lt;700 and &gt;700 c</v>
      </c>
      <c r="AB216" s="17" t="s">
        <v>107</v>
      </c>
      <c r="AC216" s="17" t="str">
        <f t="shared" si="5"/>
        <v>8.547008547</v>
      </c>
      <c r="AD216" s="18" t="str">
        <f t="shared" si="10"/>
        <v>1.625</v>
      </c>
      <c r="AE216" s="17" t="str">
        <f t="shared" si="6"/>
        <v>1.625</v>
      </c>
      <c r="AF216" s="17" t="str">
        <f t="shared" si="11"/>
        <v>0.6923076923</v>
      </c>
      <c r="AG216" s="17" t="str">
        <f t="shared" si="191"/>
        <v>Thermal Decomposition, </v>
      </c>
      <c r="AH216" s="17" t="str">
        <f t="shared" si="68"/>
        <v>Arching</v>
      </c>
      <c r="AI216" s="17" t="str">
        <f t="shared" si="16"/>
        <v>Arching</v>
      </c>
      <c r="AJ216" s="17" t="str">
        <f t="shared" si="7"/>
        <v>Thermal Decomposition,corona </v>
      </c>
    </row>
    <row r="217" ht="12.75" customHeight="1">
      <c r="A217" s="11">
        <v>215.0</v>
      </c>
      <c r="B217" s="17">
        <v>18819.0</v>
      </c>
      <c r="C217" s="17" t="s">
        <v>40</v>
      </c>
      <c r="D217" s="17" t="s">
        <v>190</v>
      </c>
      <c r="E217" s="22" t="s">
        <v>235</v>
      </c>
      <c r="F217" s="17">
        <v>1964.0</v>
      </c>
      <c r="G217" s="17">
        <v>8.5</v>
      </c>
      <c r="H217" s="16">
        <v>1.9549999999999998</v>
      </c>
      <c r="I217" s="16">
        <v>18037.085</v>
      </c>
      <c r="J217" s="16">
        <v>64912.204999999994</v>
      </c>
      <c r="K217" s="16">
        <v>117.72500000000001</v>
      </c>
      <c r="L217" s="16">
        <v>1243.72</v>
      </c>
      <c r="M217" s="16">
        <v>7.055</v>
      </c>
      <c r="N217" s="16">
        <v>2.975</v>
      </c>
      <c r="O217" s="16">
        <v>15.47</v>
      </c>
      <c r="P217" s="16">
        <v>20.0</v>
      </c>
      <c r="Q217" s="17" t="str">
        <f t="shared" si="1"/>
        <v>1.292824822</v>
      </c>
      <c r="R217" s="17" t="str">
        <f t="shared" si="2"/>
        <v>3.608695652</v>
      </c>
      <c r="S217" s="17" t="str">
        <f t="shared" si="8"/>
        <v>5.2</v>
      </c>
      <c r="T217" s="17" t="s">
        <v>30</v>
      </c>
      <c r="U217" s="17" t="str">
        <f>IF(R217&gt;1,"Thermal Fault &lt;700c, thermal fault &gt;700c ")</f>
        <v>Thermal Fault &lt;700c, thermal fault &gt;700c </v>
      </c>
      <c r="V217" s="17" t="str">
        <f t="shared" si="188"/>
        <v>Arching,Thermal  Fault &gt; 700 c</v>
      </c>
      <c r="W217" s="17" t="str">
        <f t="shared" si="3"/>
        <v>1.292824822</v>
      </c>
      <c r="X217" s="17" t="str">
        <f t="shared" si="33"/>
        <v>3.608695652</v>
      </c>
      <c r="Y217" s="17" t="str">
        <f t="shared" si="9"/>
        <v>5.2</v>
      </c>
      <c r="Z217" s="17" t="str">
        <f t="shared" si="189"/>
        <v>Discharge of Low Energy,  </v>
      </c>
      <c r="AA217" s="17" t="str">
        <f t="shared" si="190"/>
        <v>Thermal  Fault &gt;300c and&lt;700 and &gt;700 c</v>
      </c>
      <c r="AB217" s="17" t="str">
        <f t="shared" ref="AB217:AB220" si="192">IF(Y217&lt;0.2,"Partial Discharges, ",IF(Y217&gt;1,"Thermal  Fault  &gt;700 c"))</f>
        <v>Thermal  Fault  &gt;700 c</v>
      </c>
      <c r="AC217" s="17" t="str">
        <f t="shared" si="5"/>
        <v>3.608695652</v>
      </c>
      <c r="AD217" s="18" t="str">
        <f t="shared" si="10"/>
        <v>1.292824822</v>
      </c>
      <c r="AE217" s="17" t="str">
        <f t="shared" si="6"/>
        <v>2.834868887</v>
      </c>
      <c r="AF217" s="17" t="str">
        <f t="shared" si="11"/>
        <v>0.14875</v>
      </c>
      <c r="AG217" s="17" t="str">
        <f t="shared" si="191"/>
        <v>Thermal Decomposition, </v>
      </c>
      <c r="AH217" s="17" t="str">
        <f t="shared" si="68"/>
        <v>Arching</v>
      </c>
      <c r="AI217" s="17" t="str">
        <f t="shared" si="16"/>
        <v>Arching</v>
      </c>
      <c r="AJ217" s="17" t="str">
        <f t="shared" si="7"/>
        <v>Arching</v>
      </c>
    </row>
    <row r="218" ht="12.75" customHeight="1">
      <c r="A218" s="11">
        <v>216.0</v>
      </c>
      <c r="B218" s="17" t="s">
        <v>236</v>
      </c>
      <c r="C218" s="17" t="s">
        <v>237</v>
      </c>
      <c r="D218" s="17" t="s">
        <v>238</v>
      </c>
      <c r="E218" s="17" t="s">
        <v>76</v>
      </c>
      <c r="F218" s="17">
        <v>1987.0</v>
      </c>
      <c r="G218" s="17">
        <v>8.0</v>
      </c>
      <c r="H218" s="16">
        <v>7.68</v>
      </c>
      <c r="I218" s="16">
        <v>14623.519999999999</v>
      </c>
      <c r="J218" s="16">
        <v>63559.439999999995</v>
      </c>
      <c r="K218" s="16">
        <v>113.99999999999999</v>
      </c>
      <c r="L218" s="16">
        <v>1170.0</v>
      </c>
      <c r="M218" s="16">
        <v>2.96</v>
      </c>
      <c r="N218" s="16">
        <v>8.24</v>
      </c>
      <c r="O218" s="16">
        <v>19.28</v>
      </c>
      <c r="P218" s="17">
        <v>32.0</v>
      </c>
      <c r="Q218" s="17" t="str">
        <f t="shared" si="1"/>
        <v>1.659751037</v>
      </c>
      <c r="R218" s="17" t="str">
        <f t="shared" si="2"/>
        <v>0.3854166667</v>
      </c>
      <c r="S218" s="17" t="str">
        <f t="shared" si="8"/>
        <v>2.339805825</v>
      </c>
      <c r="T218" s="17" t="s">
        <v>30</v>
      </c>
      <c r="U218" s="17" t="s">
        <v>31</v>
      </c>
      <c r="V218" s="17" t="s">
        <v>37</v>
      </c>
      <c r="W218" s="17" t="str">
        <f t="shared" si="3"/>
        <v>1.659751037</v>
      </c>
      <c r="X218" s="17" t="str">
        <f t="shared" si="33"/>
        <v>0.3854166667</v>
      </c>
      <c r="Y218" s="17" t="str">
        <f t="shared" si="9"/>
        <v>2.339805825</v>
      </c>
      <c r="Z218" s="17" t="str">
        <f t="shared" si="189"/>
        <v>Discharge of Low Energy,  </v>
      </c>
      <c r="AA218" s="17" t="s">
        <v>34</v>
      </c>
      <c r="AB218" s="17" t="str">
        <f t="shared" si="192"/>
        <v>Thermal  Fault  &gt;700 c</v>
      </c>
      <c r="AC218" s="17" t="str">
        <f t="shared" si="5"/>
        <v>0.3854166667</v>
      </c>
      <c r="AD218" s="18" t="str">
        <f t="shared" si="10"/>
        <v>1.659751037</v>
      </c>
      <c r="AE218" s="17" t="str">
        <f t="shared" si="6"/>
        <v>10.81081081</v>
      </c>
      <c r="AF218" s="17" t="str">
        <f t="shared" si="11"/>
        <v>0.2575</v>
      </c>
      <c r="AG218" s="17" t="s">
        <v>30</v>
      </c>
      <c r="AH218" s="17" t="str">
        <f t="shared" si="68"/>
        <v>Arching</v>
      </c>
      <c r="AI218" s="17" t="str">
        <f t="shared" si="16"/>
        <v>Arching</v>
      </c>
      <c r="AJ218" s="17" t="str">
        <f t="shared" si="7"/>
        <v>Arching</v>
      </c>
    </row>
    <row r="219" ht="12.75" customHeight="1">
      <c r="A219" s="11">
        <v>217.0</v>
      </c>
      <c r="B219" s="17">
        <v>18450.0</v>
      </c>
      <c r="C219" s="17" t="s">
        <v>40</v>
      </c>
      <c r="D219" s="17" t="s">
        <v>239</v>
      </c>
      <c r="E219" s="22" t="s">
        <v>155</v>
      </c>
      <c r="F219" s="22" t="s">
        <v>155</v>
      </c>
      <c r="G219" s="17">
        <v>7.9</v>
      </c>
      <c r="H219" s="16">
        <v>3.7919999999999994</v>
      </c>
      <c r="I219" s="16">
        <v>16985.790000000005</v>
      </c>
      <c r="J219" s="16">
        <v>59046.654</v>
      </c>
      <c r="K219" s="16">
        <v>155.946</v>
      </c>
      <c r="L219" s="16">
        <v>1644.9379999999999</v>
      </c>
      <c r="M219" s="16">
        <v>12.482000000000001</v>
      </c>
      <c r="N219" s="16">
        <v>1.8959999999999997</v>
      </c>
      <c r="O219" s="16">
        <v>13.509000000000002</v>
      </c>
      <c r="P219" s="16">
        <v>15.0</v>
      </c>
      <c r="Q219" s="17" t="str">
        <f t="shared" si="1"/>
        <v>1.110370864</v>
      </c>
      <c r="R219" s="17" t="str">
        <f t="shared" si="2"/>
        <v>3.291666667</v>
      </c>
      <c r="S219" s="17" t="str">
        <f t="shared" si="8"/>
        <v>7.125</v>
      </c>
      <c r="T219" s="17" t="s">
        <v>30</v>
      </c>
      <c r="U219" s="17" t="str">
        <f t="shared" ref="U219:U220" si="193">IF(R219&gt;1,"Thermal Fault &lt;700c, thermal fault &gt;700c ")</f>
        <v>Thermal Fault &lt;700c, thermal fault &gt;700c </v>
      </c>
      <c r="V219" s="17" t="str">
        <f t="shared" ref="V219:V222" si="194">IF(S219&lt;1,"Partial discharge, Normal ",IF(S219&gt;3,"Arching,Thermal  Fault &gt; 700 c"))</f>
        <v>Arching,Thermal  Fault &gt; 700 c</v>
      </c>
      <c r="W219" s="17" t="str">
        <f t="shared" si="3"/>
        <v>1.110370864</v>
      </c>
      <c r="X219" s="17" t="str">
        <f t="shared" si="33"/>
        <v>3.291666667</v>
      </c>
      <c r="Y219" s="17" t="str">
        <f t="shared" si="9"/>
        <v>7.125</v>
      </c>
      <c r="Z219" s="17" t="str">
        <f t="shared" si="189"/>
        <v>Discharge of Low Energy,  </v>
      </c>
      <c r="AA219" s="17" t="str">
        <f t="shared" ref="AA219:AA220" si="195">IF(X219&lt;0.1,"Partial Discharges, ",IF(X219&gt;1,"Thermal  Fault &gt;300c and&lt;700 and &gt;700 c"))</f>
        <v>Thermal  Fault &gt;300c and&lt;700 and &gt;700 c</v>
      </c>
      <c r="AB219" s="17" t="str">
        <f t="shared" si="192"/>
        <v>Thermal  Fault  &gt;700 c</v>
      </c>
      <c r="AC219" s="17" t="str">
        <f t="shared" si="5"/>
        <v>3.291666667</v>
      </c>
      <c r="AD219" s="18" t="str">
        <f t="shared" si="10"/>
        <v>1.110370864</v>
      </c>
      <c r="AE219" s="17" t="str">
        <f t="shared" si="6"/>
        <v>1.201730492</v>
      </c>
      <c r="AF219" s="17" t="str">
        <f t="shared" si="11"/>
        <v>0.1264</v>
      </c>
      <c r="AG219" s="17" t="str">
        <f t="shared" ref="AG219:AG220" si="196">IF(AC219&gt;1,"Thermal Decomposition, ",IF(AC219&lt;0.1,"Corona,Arching"))</f>
        <v>Thermal Decomposition, </v>
      </c>
      <c r="AH219" s="17" t="str">
        <f t="shared" si="68"/>
        <v>Arching</v>
      </c>
      <c r="AI219" s="17" t="str">
        <f t="shared" si="16"/>
        <v>Arching</v>
      </c>
      <c r="AJ219" s="17" t="str">
        <f t="shared" si="7"/>
        <v>Arching</v>
      </c>
    </row>
    <row r="220" ht="12.75" customHeight="1">
      <c r="A220" s="11">
        <v>218.0</v>
      </c>
      <c r="B220" s="17">
        <v>17390.0</v>
      </c>
      <c r="C220" s="17" t="s">
        <v>40</v>
      </c>
      <c r="D220" s="17" t="s">
        <v>239</v>
      </c>
      <c r="E220" s="22" t="s">
        <v>155</v>
      </c>
      <c r="F220" s="22" t="s">
        <v>155</v>
      </c>
      <c r="G220" s="17">
        <v>8.5</v>
      </c>
      <c r="H220" s="16">
        <v>64.175</v>
      </c>
      <c r="I220" s="16">
        <v>15996.32</v>
      </c>
      <c r="J220" s="16">
        <v>61937.630000000005</v>
      </c>
      <c r="K220" s="16">
        <v>190.57000000000002</v>
      </c>
      <c r="L220" s="16">
        <v>2108.34</v>
      </c>
      <c r="M220" s="16">
        <v>1237.345</v>
      </c>
      <c r="N220" s="16">
        <v>319.34499999999997</v>
      </c>
      <c r="O220" s="16">
        <v>2054.705</v>
      </c>
      <c r="P220" s="16">
        <v>27.880000000000006</v>
      </c>
      <c r="Q220" s="17" t="str">
        <f t="shared" si="1"/>
        <v>0.01356885782</v>
      </c>
      <c r="R220" s="17" t="str">
        <f t="shared" si="2"/>
        <v>19.2807947</v>
      </c>
      <c r="S220" s="17" t="str">
        <f t="shared" si="8"/>
        <v>6.43412297</v>
      </c>
      <c r="T220" s="17" t="str">
        <f>IF(Q220&lt;1,"Partial discharge,Low Temprature thermal fault,")</f>
        <v>Partial discharge,Low Temprature thermal fault,</v>
      </c>
      <c r="U220" s="17" t="str">
        <f t="shared" si="193"/>
        <v>Thermal Fault &lt;700c, thermal fault &gt;700c </v>
      </c>
      <c r="V220" s="17" t="str">
        <f t="shared" si="194"/>
        <v>Arching,Thermal  Fault &gt; 700 c</v>
      </c>
      <c r="W220" s="17" t="str">
        <f t="shared" si="3"/>
        <v>0.01356885782</v>
      </c>
      <c r="X220" s="17" t="str">
        <f t="shared" si="33"/>
        <v>19.2807947</v>
      </c>
      <c r="Y220" s="17" t="str">
        <f t="shared" si="9"/>
        <v>6.43412297</v>
      </c>
      <c r="Z220" s="17" t="str">
        <f t="shared" si="189"/>
        <v>Thermal  Fault&gt; 300c and&lt;700 c</v>
      </c>
      <c r="AA220" s="17" t="str">
        <f t="shared" si="195"/>
        <v>Thermal  Fault &gt;300c and&lt;700 and &gt;700 c</v>
      </c>
      <c r="AB220" s="17" t="str">
        <f t="shared" si="192"/>
        <v>Thermal  Fault  &gt;700 c</v>
      </c>
      <c r="AC220" s="17" t="str">
        <f t="shared" si="5"/>
        <v>19.2807947</v>
      </c>
      <c r="AD220" s="18" t="str">
        <f t="shared" si="10"/>
        <v>0.01356885782</v>
      </c>
      <c r="AE220" s="17" t="str">
        <f t="shared" si="6"/>
        <v>0.02253211513</v>
      </c>
      <c r="AF220" s="17" t="str">
        <f t="shared" si="11"/>
        <v>11.45426829</v>
      </c>
      <c r="AG220" s="17" t="str">
        <f t="shared" si="196"/>
        <v>Thermal Decomposition, </v>
      </c>
      <c r="AH220" s="17" t="str">
        <f t="shared" si="68"/>
        <v>Thermal Decomposition, </v>
      </c>
      <c r="AI220" s="17" t="str">
        <f t="shared" si="16"/>
        <v>Thermal Decomposition,corona </v>
      </c>
      <c r="AJ220" s="17" t="str">
        <f t="shared" si="7"/>
        <v>Thermal Decomposition,corona </v>
      </c>
    </row>
    <row r="221" ht="12.75" customHeight="1">
      <c r="A221" s="11">
        <v>219.0</v>
      </c>
      <c r="B221" s="21" t="s">
        <v>240</v>
      </c>
      <c r="C221" s="21" t="s">
        <v>241</v>
      </c>
      <c r="D221" s="21" t="s">
        <v>242</v>
      </c>
      <c r="E221" s="21" t="s">
        <v>91</v>
      </c>
      <c r="F221" s="21">
        <v>2013.0</v>
      </c>
      <c r="G221" s="17">
        <v>8.3</v>
      </c>
      <c r="H221" s="16">
        <v>4.565</v>
      </c>
      <c r="I221" s="16">
        <v>15261.625</v>
      </c>
      <c r="J221" s="16">
        <v>65929.141</v>
      </c>
      <c r="K221" s="16">
        <v>94.20500000000001</v>
      </c>
      <c r="L221" s="16">
        <v>832.5730000000002</v>
      </c>
      <c r="M221" s="16">
        <v>1.494</v>
      </c>
      <c r="N221" s="16">
        <v>9.0</v>
      </c>
      <c r="O221" s="16">
        <v>5.0</v>
      </c>
      <c r="P221" s="16">
        <v>5.0</v>
      </c>
      <c r="Q221" s="17" t="str">
        <f t="shared" si="1"/>
        <v>1</v>
      </c>
      <c r="R221" s="17" t="str">
        <f t="shared" si="2"/>
        <v>0.3272727273</v>
      </c>
      <c r="S221" s="17" t="str">
        <f t="shared" si="8"/>
        <v>0.5555555556</v>
      </c>
      <c r="T221" s="17" t="s">
        <v>30</v>
      </c>
      <c r="U221" s="17" t="s">
        <v>31</v>
      </c>
      <c r="V221" s="17" t="str">
        <f t="shared" si="194"/>
        <v>Partial discharge, Normal </v>
      </c>
      <c r="W221" s="17" t="str">
        <f t="shared" si="3"/>
        <v>1</v>
      </c>
      <c r="X221" s="17" t="str">
        <f t="shared" si="33"/>
        <v>0.3272727273</v>
      </c>
      <c r="Y221" s="17" t="str">
        <f t="shared" si="9"/>
        <v>0.5555555556</v>
      </c>
      <c r="Z221" s="17" t="s">
        <v>34</v>
      </c>
      <c r="AA221" s="17" t="s">
        <v>34</v>
      </c>
      <c r="AB221" s="17" t="s">
        <v>107</v>
      </c>
      <c r="AC221" s="17" t="str">
        <f t="shared" si="5"/>
        <v>0.3272727273</v>
      </c>
      <c r="AD221" s="18" t="str">
        <f t="shared" si="10"/>
        <v>1</v>
      </c>
      <c r="AE221" s="17" t="str">
        <f t="shared" si="6"/>
        <v>3.346720214</v>
      </c>
      <c r="AF221" s="17" t="str">
        <f t="shared" si="11"/>
        <v>1.8</v>
      </c>
      <c r="AG221" s="17" t="s">
        <v>30</v>
      </c>
      <c r="AH221" s="17" t="str">
        <f t="shared" si="68"/>
        <v>Arching</v>
      </c>
      <c r="AI221" s="17" t="str">
        <f t="shared" si="16"/>
        <v>Arching</v>
      </c>
      <c r="AJ221" s="17" t="str">
        <f t="shared" si="7"/>
        <v>Thermal Decomposition,corona </v>
      </c>
    </row>
    <row r="222" ht="12.75" customHeight="1">
      <c r="A222" s="11">
        <v>220.0</v>
      </c>
      <c r="B222" s="21" t="s">
        <v>243</v>
      </c>
      <c r="C222" s="21" t="s">
        <v>241</v>
      </c>
      <c r="D222" s="21" t="s">
        <v>242</v>
      </c>
      <c r="E222" s="21" t="s">
        <v>91</v>
      </c>
      <c r="F222" s="21">
        <v>2013.0</v>
      </c>
      <c r="G222" s="17">
        <v>8.5</v>
      </c>
      <c r="H222" s="16">
        <v>6.375</v>
      </c>
      <c r="I222" s="16">
        <v>15902.48</v>
      </c>
      <c r="J222" s="16">
        <v>67433.985</v>
      </c>
      <c r="K222" s="16">
        <v>92.225</v>
      </c>
      <c r="L222" s="16">
        <v>932.025</v>
      </c>
      <c r="M222" s="16">
        <v>2.2950000000000004</v>
      </c>
      <c r="N222" s="16">
        <v>9.0</v>
      </c>
      <c r="O222" s="16">
        <v>6.0</v>
      </c>
      <c r="P222" s="16">
        <v>5.0</v>
      </c>
      <c r="Q222" s="17" t="str">
        <f t="shared" si="1"/>
        <v>0.8333333333</v>
      </c>
      <c r="R222" s="17" t="str">
        <f t="shared" si="2"/>
        <v>0.36</v>
      </c>
      <c r="S222" s="17" t="str">
        <f t="shared" si="8"/>
        <v>0.6666666667</v>
      </c>
      <c r="T222" s="17" t="str">
        <f>IF(Q222&lt;1,"Partial discharge,Low Temprature thermal fault,")</f>
        <v>Partial discharge,Low Temprature thermal fault,</v>
      </c>
      <c r="U222" s="17" t="s">
        <v>31</v>
      </c>
      <c r="V222" s="17" t="str">
        <f t="shared" si="194"/>
        <v>Partial discharge, Normal </v>
      </c>
      <c r="W222" s="17" t="str">
        <f t="shared" si="3"/>
        <v>0.8333333333</v>
      </c>
      <c r="X222" s="17" t="str">
        <f t="shared" si="33"/>
        <v>0.36</v>
      </c>
      <c r="Y222" s="17" t="str">
        <f t="shared" si="9"/>
        <v>0.6666666667</v>
      </c>
      <c r="Z222" s="17" t="s">
        <v>34</v>
      </c>
      <c r="AA222" s="17" t="s">
        <v>34</v>
      </c>
      <c r="AB222" s="17" t="s">
        <v>107</v>
      </c>
      <c r="AC222" s="17" t="str">
        <f t="shared" si="5"/>
        <v>0.36</v>
      </c>
      <c r="AD222" s="18" t="str">
        <f t="shared" si="10"/>
        <v>0.8333333333</v>
      </c>
      <c r="AE222" s="17" t="str">
        <f t="shared" si="6"/>
        <v>2.178649237</v>
      </c>
      <c r="AF222" s="17" t="str">
        <f t="shared" si="11"/>
        <v>1.8</v>
      </c>
      <c r="AG222" s="17" t="s">
        <v>30</v>
      </c>
      <c r="AH222" s="17" t="str">
        <f t="shared" si="68"/>
        <v>Arching</v>
      </c>
      <c r="AI222" s="17" t="str">
        <f t="shared" si="16"/>
        <v>Arching</v>
      </c>
      <c r="AJ222" s="17" t="str">
        <f t="shared" si="7"/>
        <v>Thermal Decomposition,corona </v>
      </c>
    </row>
    <row r="223" ht="12.75" customHeight="1">
      <c r="A223" s="11">
        <v>221.0</v>
      </c>
      <c r="B223" s="17" t="s">
        <v>244</v>
      </c>
      <c r="C223" s="17" t="s">
        <v>89</v>
      </c>
      <c r="D223" s="22" t="s">
        <v>206</v>
      </c>
      <c r="E223" s="22" t="s">
        <v>179</v>
      </c>
      <c r="F223" s="17">
        <v>2010.0</v>
      </c>
      <c r="G223" s="17">
        <v>8.8</v>
      </c>
      <c r="H223" s="16">
        <v>5.984</v>
      </c>
      <c r="I223" s="16">
        <v>18346.768000000004</v>
      </c>
      <c r="J223" s="16">
        <v>66785.13600000001</v>
      </c>
      <c r="K223" s="16">
        <v>119.32800000000002</v>
      </c>
      <c r="L223" s="16">
        <v>1289.5520000000001</v>
      </c>
      <c r="M223" s="16">
        <v>24.376</v>
      </c>
      <c r="N223" s="16">
        <v>6.424</v>
      </c>
      <c r="O223" s="16">
        <v>12.760000000000002</v>
      </c>
      <c r="P223" s="16">
        <v>33.0</v>
      </c>
      <c r="Q223" s="17" t="str">
        <f t="shared" si="1"/>
        <v>2.586206897</v>
      </c>
      <c r="R223" s="17" t="str">
        <f t="shared" si="2"/>
        <v>4.073529412</v>
      </c>
      <c r="S223" s="17" t="str">
        <f t="shared" si="8"/>
        <v>1.98630137</v>
      </c>
      <c r="T223" s="17" t="s">
        <v>30</v>
      </c>
      <c r="U223" s="17" t="str">
        <f t="shared" ref="U223:U225" si="197">IF(R223&gt;1,"Thermal Fault &lt;700c, thermal fault &gt;700c ")</f>
        <v>Thermal Fault &lt;700c, thermal fault &gt;700c </v>
      </c>
      <c r="V223" s="17" t="s">
        <v>37</v>
      </c>
      <c r="W223" s="17" t="str">
        <f t="shared" si="3"/>
        <v>2.586206897</v>
      </c>
      <c r="X223" s="17" t="str">
        <f t="shared" si="33"/>
        <v>4.073529412</v>
      </c>
      <c r="Y223" s="17" t="str">
        <f t="shared" si="9"/>
        <v>1.98630137</v>
      </c>
      <c r="Z223" s="17" t="str">
        <f>IF(W223&gt;1,"Discharge of Low Energy,  ",IF(W223&lt;0.1,"Thermal  Fault&gt; 300c and&lt;700 c"))</f>
        <v>Discharge of Low Energy,  </v>
      </c>
      <c r="AA223" s="17" t="str">
        <f t="shared" ref="AA223:AA225" si="198">IF(X223&lt;0.1,"Partial Discharges, ",IF(X223&gt;1,"Thermal  Fault &gt;300c and&lt;700 and &gt;700 c"))</f>
        <v>Thermal  Fault &gt;300c and&lt;700 and &gt;700 c</v>
      </c>
      <c r="AB223" s="17" t="str">
        <f t="shared" ref="AB223:AB225" si="199">IF(Y223&lt;0.2,"Partial Discharges, ",IF(Y223&gt;1,"Thermal  Fault  &gt;700 c"))</f>
        <v>Thermal  Fault  &gt;700 c</v>
      </c>
      <c r="AC223" s="17" t="str">
        <f t="shared" si="5"/>
        <v>4.073529412</v>
      </c>
      <c r="AD223" s="18" t="str">
        <f t="shared" si="10"/>
        <v>2.586206897</v>
      </c>
      <c r="AE223" s="17" t="str">
        <f t="shared" si="6"/>
        <v>1.353790614</v>
      </c>
      <c r="AF223" s="17" t="str">
        <f t="shared" si="11"/>
        <v>0.1946666667</v>
      </c>
      <c r="AG223" s="17" t="str">
        <f t="shared" ref="AG223:AG225" si="200">IF(AC223&gt;1,"Thermal Decomposition, ",IF(AC223&lt;0.1,"Corona,Arching"))</f>
        <v>Thermal Decomposition, </v>
      </c>
      <c r="AH223" s="17" t="str">
        <f t="shared" si="68"/>
        <v>Arching</v>
      </c>
      <c r="AI223" s="17" t="str">
        <f t="shared" si="16"/>
        <v>Arching</v>
      </c>
      <c r="AJ223" s="17" t="str">
        <f t="shared" si="7"/>
        <v>Arching</v>
      </c>
    </row>
    <row r="224" ht="12.75" customHeight="1">
      <c r="A224" s="11">
        <v>222.0</v>
      </c>
      <c r="B224" s="17" t="s">
        <v>244</v>
      </c>
      <c r="C224" s="17" t="s">
        <v>89</v>
      </c>
      <c r="D224" s="17" t="s">
        <v>206</v>
      </c>
      <c r="E224" s="22" t="s">
        <v>179</v>
      </c>
      <c r="F224" s="17">
        <v>2010.0</v>
      </c>
      <c r="G224" s="17">
        <v>8.1</v>
      </c>
      <c r="H224" s="16">
        <v>7.857</v>
      </c>
      <c r="I224" s="16">
        <v>16762.545</v>
      </c>
      <c r="J224" s="16">
        <v>61758.28799999999</v>
      </c>
      <c r="K224" s="16">
        <v>126.765</v>
      </c>
      <c r="L224" s="16">
        <v>1227.474</v>
      </c>
      <c r="M224" s="16">
        <v>21.627</v>
      </c>
      <c r="N224" s="16">
        <v>5.832</v>
      </c>
      <c r="O224" s="16">
        <v>14.661000000000001</v>
      </c>
      <c r="P224" s="16">
        <v>8.0</v>
      </c>
      <c r="Q224" s="17" t="str">
        <f t="shared" si="1"/>
        <v>0.5456653707</v>
      </c>
      <c r="R224" s="17" t="str">
        <f t="shared" si="2"/>
        <v>2.75257732</v>
      </c>
      <c r="S224" s="17" t="str">
        <f t="shared" si="8"/>
        <v>2.513888889</v>
      </c>
      <c r="T224" s="17" t="str">
        <f t="shared" ref="T224:T225" si="201">IF(Q224&lt;1,"Partial discharge,Low Temprature thermal fault,")</f>
        <v>Partial discharge,Low Temprature thermal fault,</v>
      </c>
      <c r="U224" s="17" t="str">
        <f t="shared" si="197"/>
        <v>Thermal Fault &lt;700c, thermal fault &gt;700c </v>
      </c>
      <c r="V224" s="17" t="s">
        <v>37</v>
      </c>
      <c r="W224" s="17" t="str">
        <f t="shared" si="3"/>
        <v>0.5456653707</v>
      </c>
      <c r="X224" s="17" t="str">
        <f t="shared" si="33"/>
        <v>2.75257732</v>
      </c>
      <c r="Y224" s="17" t="str">
        <f t="shared" si="9"/>
        <v>2.513888889</v>
      </c>
      <c r="Z224" s="17" t="s">
        <v>34</v>
      </c>
      <c r="AA224" s="17" t="str">
        <f t="shared" si="198"/>
        <v>Thermal  Fault &gt;300c and&lt;700 and &gt;700 c</v>
      </c>
      <c r="AB224" s="17" t="str">
        <f t="shared" si="199"/>
        <v>Thermal  Fault  &gt;700 c</v>
      </c>
      <c r="AC224" s="17" t="str">
        <f t="shared" si="5"/>
        <v>2.75257732</v>
      </c>
      <c r="AD224" s="18" t="str">
        <f t="shared" si="10"/>
        <v>0.5456653707</v>
      </c>
      <c r="AE224" s="17" t="str">
        <f t="shared" si="6"/>
        <v>0.3699079854</v>
      </c>
      <c r="AF224" s="17" t="str">
        <f t="shared" si="11"/>
        <v>0.729</v>
      </c>
      <c r="AG224" s="17" t="str">
        <f t="shared" si="200"/>
        <v>Thermal Decomposition, </v>
      </c>
      <c r="AH224" s="17" t="str">
        <f t="shared" si="68"/>
        <v>Thermal Decomposition, </v>
      </c>
      <c r="AI224" s="17" t="str">
        <f t="shared" si="16"/>
        <v>Arching</v>
      </c>
      <c r="AJ224" s="17" t="str">
        <f t="shared" si="7"/>
        <v>Thermal Decomposition,corona </v>
      </c>
    </row>
    <row r="225" ht="12.75" customHeight="1">
      <c r="A225" s="11">
        <v>223.0</v>
      </c>
      <c r="B225" s="17">
        <v>23953.0</v>
      </c>
      <c r="C225" s="17" t="s">
        <v>40</v>
      </c>
      <c r="D225" s="17" t="s">
        <v>190</v>
      </c>
      <c r="E225" s="22" t="s">
        <v>179</v>
      </c>
      <c r="F225" s="17">
        <v>1971.0</v>
      </c>
      <c r="G225" s="17">
        <v>8.7</v>
      </c>
      <c r="H225" s="16">
        <v>3.3929999999999993</v>
      </c>
      <c r="I225" s="16">
        <v>16803.092999999997</v>
      </c>
      <c r="J225" s="16">
        <v>67145.817</v>
      </c>
      <c r="K225" s="16">
        <v>161.124</v>
      </c>
      <c r="L225" s="16">
        <v>1730.865</v>
      </c>
      <c r="M225" s="16">
        <v>70.29599999999999</v>
      </c>
      <c r="N225" s="16">
        <v>20.531999999999996</v>
      </c>
      <c r="O225" s="16">
        <v>186.963</v>
      </c>
      <c r="P225" s="16">
        <v>65.0</v>
      </c>
      <c r="Q225" s="17" t="str">
        <f t="shared" si="1"/>
        <v>0.3476623717</v>
      </c>
      <c r="R225" s="17" t="str">
        <f t="shared" si="2"/>
        <v>20.71794872</v>
      </c>
      <c r="S225" s="17" t="str">
        <f t="shared" si="8"/>
        <v>9.105932203</v>
      </c>
      <c r="T225" s="17" t="str">
        <f t="shared" si="201"/>
        <v>Partial discharge,Low Temprature thermal fault,</v>
      </c>
      <c r="U225" s="17" t="str">
        <f t="shared" si="197"/>
        <v>Thermal Fault &lt;700c, thermal fault &gt;700c </v>
      </c>
      <c r="V225" s="17" t="str">
        <f t="shared" ref="V225:V226" si="202">IF(S225&lt;1,"Partial discharge, Normal ",IF(S225&gt;3,"Arching,Thermal  Fault &gt; 700 c"))</f>
        <v>Arching,Thermal  Fault &gt; 700 c</v>
      </c>
      <c r="W225" s="17" t="str">
        <f t="shared" si="3"/>
        <v>0.3476623717</v>
      </c>
      <c r="X225" s="17" t="str">
        <f t="shared" si="33"/>
        <v>20.71794872</v>
      </c>
      <c r="Y225" s="17" t="str">
        <f t="shared" si="9"/>
        <v>9.105932203</v>
      </c>
      <c r="Z225" s="17" t="s">
        <v>34</v>
      </c>
      <c r="AA225" s="17" t="str">
        <f t="shared" si="198"/>
        <v>Thermal  Fault &gt;300c and&lt;700 and &gt;700 c</v>
      </c>
      <c r="AB225" s="17" t="str">
        <f t="shared" si="199"/>
        <v>Thermal  Fault  &gt;700 c</v>
      </c>
      <c r="AC225" s="17" t="str">
        <f t="shared" si="5"/>
        <v>20.71794872</v>
      </c>
      <c r="AD225" s="18" t="str">
        <f t="shared" si="10"/>
        <v>0.3476623717</v>
      </c>
      <c r="AE225" s="17" t="str">
        <f t="shared" si="6"/>
        <v>0.9246614317</v>
      </c>
      <c r="AF225" s="17" t="str">
        <f t="shared" si="11"/>
        <v>0.3158769231</v>
      </c>
      <c r="AG225" s="17" t="str">
        <f t="shared" si="200"/>
        <v>Thermal Decomposition, </v>
      </c>
      <c r="AH225" s="17" t="str">
        <f t="shared" si="68"/>
        <v>Thermal Decomposition, </v>
      </c>
      <c r="AI225" s="17" t="str">
        <f t="shared" si="16"/>
        <v>Arching</v>
      </c>
      <c r="AJ225" s="17" t="str">
        <f t="shared" si="7"/>
        <v>Arching</v>
      </c>
    </row>
    <row r="226" ht="12.75" customHeight="1">
      <c r="A226" s="11">
        <v>224.0</v>
      </c>
      <c r="B226" s="17">
        <v>23170.0</v>
      </c>
      <c r="C226" s="17" t="s">
        <v>40</v>
      </c>
      <c r="D226" s="17" t="s">
        <v>190</v>
      </c>
      <c r="E226" s="22" t="s">
        <v>201</v>
      </c>
      <c r="F226" s="17">
        <v>1971.0</v>
      </c>
      <c r="G226" s="17">
        <v>7.8</v>
      </c>
      <c r="H226" s="16">
        <v>11.856</v>
      </c>
      <c r="I226" s="16">
        <v>15400.008</v>
      </c>
      <c r="J226" s="16">
        <v>60415.758</v>
      </c>
      <c r="K226" s="16">
        <v>150.15</v>
      </c>
      <c r="L226" s="16">
        <v>1468.0380000000002</v>
      </c>
      <c r="M226" s="16">
        <v>4.0</v>
      </c>
      <c r="N226" s="16">
        <v>11.0</v>
      </c>
      <c r="O226" s="16">
        <v>8.0</v>
      </c>
      <c r="P226" s="16">
        <v>56.0</v>
      </c>
      <c r="Q226" s="17" t="str">
        <f t="shared" si="1"/>
        <v>7</v>
      </c>
      <c r="R226" s="17" t="str">
        <f t="shared" si="2"/>
        <v>0.3373819163</v>
      </c>
      <c r="S226" s="17" t="str">
        <f t="shared" si="8"/>
        <v>0.7272727273</v>
      </c>
      <c r="T226" s="17" t="s">
        <v>30</v>
      </c>
      <c r="U226" s="17" t="str">
        <f>IF(R226&lt;0.1, "Partial discharge", "Low temperature thermal ")</f>
        <v>Low temperature thermal </v>
      </c>
      <c r="V226" s="17" t="str">
        <f t="shared" si="202"/>
        <v>Partial discharge, Normal </v>
      </c>
      <c r="W226" s="17" t="str">
        <f t="shared" si="3"/>
        <v>7</v>
      </c>
      <c r="X226" s="17" t="str">
        <f t="shared" si="33"/>
        <v>0.3373819163</v>
      </c>
      <c r="Y226" s="17" t="str">
        <f t="shared" si="9"/>
        <v>0.7272727273</v>
      </c>
      <c r="Z226" s="17" t="str">
        <f>IF(W226&gt;1,"Discharge of Low Energy,  ",IF(W226&lt;0.1,"Thermal  Fault&gt; 300c and&lt;700 c"))</f>
        <v>Discharge of Low Energy,  </v>
      </c>
      <c r="AA226" s="17" t="s">
        <v>245</v>
      </c>
      <c r="AB226" s="17" t="s">
        <v>107</v>
      </c>
      <c r="AC226" s="17" t="str">
        <f t="shared" si="5"/>
        <v>0.3373819163</v>
      </c>
      <c r="AD226" s="18" t="str">
        <f t="shared" si="10"/>
        <v>7</v>
      </c>
      <c r="AE226" s="17" t="str">
        <f t="shared" si="6"/>
        <v>14</v>
      </c>
      <c r="AF226" s="17" t="str">
        <f t="shared" si="11"/>
        <v>0.1964285714</v>
      </c>
      <c r="AG226" s="17" t="s">
        <v>30</v>
      </c>
      <c r="AH226" s="17" t="str">
        <f t="shared" si="68"/>
        <v>Arching</v>
      </c>
      <c r="AI226" s="17" t="str">
        <f t="shared" si="16"/>
        <v>Arching</v>
      </c>
      <c r="AJ226" s="17" t="str">
        <f t="shared" si="7"/>
        <v>Arching</v>
      </c>
    </row>
    <row r="227" ht="12.75" customHeight="1">
      <c r="A227" s="11">
        <v>225.0</v>
      </c>
      <c r="B227" s="17" t="s">
        <v>246</v>
      </c>
      <c r="C227" s="17" t="s">
        <v>82</v>
      </c>
      <c r="D227" s="17" t="s">
        <v>247</v>
      </c>
      <c r="E227" s="22" t="s">
        <v>179</v>
      </c>
      <c r="F227" s="17">
        <v>2008.0</v>
      </c>
      <c r="G227" s="17">
        <v>8.5</v>
      </c>
      <c r="H227" s="16">
        <v>4.335</v>
      </c>
      <c r="I227" s="16">
        <v>17108.715</v>
      </c>
      <c r="J227" s="16">
        <v>65618.72499999999</v>
      </c>
      <c r="K227" s="16">
        <v>122.57000000000001</v>
      </c>
      <c r="L227" s="16">
        <v>1389.92</v>
      </c>
      <c r="M227" s="16">
        <v>9.775</v>
      </c>
      <c r="N227" s="16">
        <v>7.0</v>
      </c>
      <c r="O227" s="16">
        <v>9.0</v>
      </c>
      <c r="P227" s="16">
        <v>8.0</v>
      </c>
      <c r="Q227" s="17" t="str">
        <f t="shared" si="1"/>
        <v>0.8888888889</v>
      </c>
      <c r="R227" s="17" t="str">
        <f t="shared" si="2"/>
        <v>2.254901961</v>
      </c>
      <c r="S227" s="17" t="str">
        <f t="shared" si="8"/>
        <v>1.285714286</v>
      </c>
      <c r="T227" s="17" t="str">
        <f>IF(Q227&lt;1,"Partial discharge,Low Temprature thermal fault,")</f>
        <v>Partial discharge,Low Temprature thermal fault,</v>
      </c>
      <c r="U227" s="17" t="str">
        <f>IF(R227&gt;1,"Thermal Fault &lt;700c, thermal fault &gt;700c ")</f>
        <v>Thermal Fault &lt;700c, thermal fault &gt;700c </v>
      </c>
      <c r="V227" s="17" t="s">
        <v>37</v>
      </c>
      <c r="W227" s="17" t="str">
        <f t="shared" si="3"/>
        <v>0.8888888889</v>
      </c>
      <c r="X227" s="17" t="str">
        <f t="shared" si="33"/>
        <v>2.254901961</v>
      </c>
      <c r="Y227" s="17" t="str">
        <f t="shared" si="9"/>
        <v>1.285714286</v>
      </c>
      <c r="Z227" s="17" t="s">
        <v>34</v>
      </c>
      <c r="AA227" s="17" t="str">
        <f>IF(X227&lt;0.1,"Partial Discharges, ",IF(X227&gt;1,"Thermal  Fault &gt;300c and&lt;700 and &gt;700 c"))</f>
        <v>Thermal  Fault &gt;300c and&lt;700 and &gt;700 c</v>
      </c>
      <c r="AB227" s="17" t="str">
        <f>IF(Y227&lt;0.2,"Partial Discharges, ",IF(Y227&gt;1,"Thermal  Fault  &gt;700 c"))</f>
        <v>Thermal  Fault  &gt;700 c</v>
      </c>
      <c r="AC227" s="17" t="str">
        <f t="shared" si="5"/>
        <v>2.254901961</v>
      </c>
      <c r="AD227" s="18" t="str">
        <f t="shared" si="10"/>
        <v>0.8888888889</v>
      </c>
      <c r="AE227" s="17" t="str">
        <f t="shared" si="6"/>
        <v>0.8184143223</v>
      </c>
      <c r="AF227" s="17" t="str">
        <f t="shared" si="11"/>
        <v>0.875</v>
      </c>
      <c r="AG227" s="17" t="str">
        <f>IF(AC227&gt;1,"Thermal Decomposition, ",IF(AC227&lt;0.1,"Corona,Arching"))</f>
        <v>Thermal Decomposition, </v>
      </c>
      <c r="AH227" s="17" t="str">
        <f t="shared" si="68"/>
        <v>Arching</v>
      </c>
      <c r="AI227" s="17" t="str">
        <f t="shared" si="16"/>
        <v>Arching</v>
      </c>
      <c r="AJ227" s="17" t="str">
        <f t="shared" si="7"/>
        <v>Thermal Decomposition,corona </v>
      </c>
    </row>
    <row r="228" ht="12.75" customHeight="1">
      <c r="A228" s="11">
        <v>226.0</v>
      </c>
      <c r="B228" s="13" t="s">
        <v>248</v>
      </c>
      <c r="C228" s="13" t="s">
        <v>186</v>
      </c>
      <c r="D228" s="13" t="s">
        <v>249</v>
      </c>
      <c r="E228" s="13" t="s">
        <v>130</v>
      </c>
      <c r="F228" s="13">
        <v>2017.0</v>
      </c>
      <c r="G228" s="14">
        <v>7.9</v>
      </c>
      <c r="H228" s="15">
        <v>12.008000000000001</v>
      </c>
      <c r="I228" s="15">
        <v>15636.47</v>
      </c>
      <c r="J228" s="15">
        <v>60790.657999999996</v>
      </c>
      <c r="K228" s="15">
        <v>158.079</v>
      </c>
      <c r="L228" s="15">
        <v>1684.359</v>
      </c>
      <c r="M228" s="15">
        <v>1.8170000000000002</v>
      </c>
      <c r="N228" s="15">
        <v>11.0</v>
      </c>
      <c r="O228" s="15">
        <v>6.0</v>
      </c>
      <c r="P228" s="15">
        <v>9.0</v>
      </c>
      <c r="Q228" s="17" t="str">
        <f t="shared" si="1"/>
        <v>1.5</v>
      </c>
      <c r="R228" s="17" t="str">
        <f t="shared" si="2"/>
        <v>0.1513157895</v>
      </c>
      <c r="S228" s="17" t="str">
        <f t="shared" si="8"/>
        <v>0.5454545455</v>
      </c>
      <c r="T228" s="17" t="s">
        <v>30</v>
      </c>
      <c r="U228" s="17" t="s">
        <v>31</v>
      </c>
      <c r="V228" s="17" t="str">
        <f t="shared" ref="V228:V230" si="203">IF(S228&lt;1,"Partial discharge, Normal ",IF(S228&gt;3,"Arching,Thermal  Fault &gt; 700 c"))</f>
        <v>Partial discharge, Normal </v>
      </c>
      <c r="W228" s="17" t="str">
        <f t="shared" si="3"/>
        <v>1.5</v>
      </c>
      <c r="X228" s="17" t="str">
        <f t="shared" si="33"/>
        <v>0.1513157895</v>
      </c>
      <c r="Y228" s="17" t="str">
        <f t="shared" si="9"/>
        <v>0.5454545455</v>
      </c>
      <c r="Z228" s="17" t="str">
        <f>IF(W228&gt;1,"Discharge of Low Energy,  ",IF(W228&lt;0.1,"Thermal  Fault&gt; 300c and&lt;700 c"))</f>
        <v>Discharge of Low Energy,  </v>
      </c>
      <c r="AA228" s="17" t="s">
        <v>34</v>
      </c>
      <c r="AB228" s="17" t="s">
        <v>107</v>
      </c>
      <c r="AC228" s="17" t="str">
        <f t="shared" si="5"/>
        <v>0.1513157895</v>
      </c>
      <c r="AD228" s="18" t="str">
        <f t="shared" si="10"/>
        <v>1.5</v>
      </c>
      <c r="AE228" s="17" t="str">
        <f t="shared" si="6"/>
        <v>4.953219593</v>
      </c>
      <c r="AF228" s="17" t="str">
        <f t="shared" si="11"/>
        <v>1.222222222</v>
      </c>
      <c r="AG228" s="17" t="s">
        <v>30</v>
      </c>
      <c r="AH228" s="17" t="str">
        <f t="shared" si="68"/>
        <v>Arching</v>
      </c>
      <c r="AI228" s="17" t="str">
        <f t="shared" si="16"/>
        <v>Arching</v>
      </c>
      <c r="AJ228" s="17" t="str">
        <f t="shared" si="7"/>
        <v>Thermal Decomposition,corona </v>
      </c>
    </row>
    <row r="229" ht="12.75" customHeight="1">
      <c r="A229" s="11">
        <v>227.0</v>
      </c>
      <c r="B229" s="13" t="s">
        <v>250</v>
      </c>
      <c r="C229" s="13" t="s">
        <v>186</v>
      </c>
      <c r="D229" s="13" t="s">
        <v>249</v>
      </c>
      <c r="E229" s="13" t="s">
        <v>130</v>
      </c>
      <c r="F229" s="13">
        <v>2017.0</v>
      </c>
      <c r="G229" s="14">
        <v>8.3</v>
      </c>
      <c r="H229" s="15">
        <v>5.229</v>
      </c>
      <c r="I229" s="15">
        <v>17101.237</v>
      </c>
      <c r="J229" s="15">
        <v>62926.28400000001</v>
      </c>
      <c r="K229" s="15">
        <v>143.75600000000003</v>
      </c>
      <c r="L229" s="15">
        <v>1657.4270000000001</v>
      </c>
      <c r="M229" s="15">
        <v>5.229</v>
      </c>
      <c r="N229" s="15">
        <v>18.0</v>
      </c>
      <c r="O229" s="15">
        <v>8.0</v>
      </c>
      <c r="P229" s="15">
        <v>7.0</v>
      </c>
      <c r="Q229" s="17" t="str">
        <f t="shared" si="1"/>
        <v>0.875</v>
      </c>
      <c r="R229" s="17" t="str">
        <f t="shared" si="2"/>
        <v>1</v>
      </c>
      <c r="S229" s="17" t="str">
        <f t="shared" si="8"/>
        <v>0.4444444444</v>
      </c>
      <c r="T229" s="17" t="str">
        <f>IF(Q229&lt;1,"Partial discharge,Low Temprature thermal fault,")</f>
        <v>Partial discharge,Low Temprature thermal fault,</v>
      </c>
      <c r="U229" s="17" t="s">
        <v>31</v>
      </c>
      <c r="V229" s="17" t="str">
        <f t="shared" si="203"/>
        <v>Partial discharge, Normal </v>
      </c>
      <c r="W229" s="17" t="str">
        <f t="shared" si="3"/>
        <v>0.875</v>
      </c>
      <c r="X229" s="17" t="str">
        <f t="shared" si="33"/>
        <v>1</v>
      </c>
      <c r="Y229" s="17" t="str">
        <f t="shared" si="9"/>
        <v>0.4444444444</v>
      </c>
      <c r="Z229" s="17" t="s">
        <v>34</v>
      </c>
      <c r="AA229" s="17" t="s">
        <v>34</v>
      </c>
      <c r="AB229" s="17" t="s">
        <v>107</v>
      </c>
      <c r="AC229" s="17" t="str">
        <f t="shared" si="5"/>
        <v>1</v>
      </c>
      <c r="AD229" s="18" t="str">
        <f t="shared" si="10"/>
        <v>0.875</v>
      </c>
      <c r="AE229" s="17" t="str">
        <f t="shared" si="6"/>
        <v>1.338688086</v>
      </c>
      <c r="AF229" s="17" t="str">
        <f t="shared" si="11"/>
        <v>2.571428571</v>
      </c>
      <c r="AG229" s="17" t="s">
        <v>30</v>
      </c>
      <c r="AH229" s="17" t="str">
        <f t="shared" si="68"/>
        <v>Arching</v>
      </c>
      <c r="AI229" s="17" t="str">
        <f t="shared" si="16"/>
        <v>Arching</v>
      </c>
      <c r="AJ229" s="17" t="str">
        <f t="shared" si="7"/>
        <v>Thermal Decomposition,corona </v>
      </c>
    </row>
    <row r="230" ht="12.75" customHeight="1">
      <c r="A230" s="11">
        <v>228.0</v>
      </c>
      <c r="B230" s="13" t="s">
        <v>251</v>
      </c>
      <c r="C230" s="13" t="s">
        <v>186</v>
      </c>
      <c r="D230" s="13" t="s">
        <v>249</v>
      </c>
      <c r="E230" s="13" t="s">
        <v>106</v>
      </c>
      <c r="F230" s="13">
        <v>2003.0</v>
      </c>
      <c r="G230" s="14">
        <v>8.1</v>
      </c>
      <c r="H230" s="15">
        <v>4.536</v>
      </c>
      <c r="I230" s="15">
        <v>15023.961</v>
      </c>
      <c r="J230" s="15">
        <v>63619.020000000004</v>
      </c>
      <c r="K230" s="15">
        <v>147.906</v>
      </c>
      <c r="L230" s="15">
        <v>1632.474</v>
      </c>
      <c r="M230" s="15">
        <v>3.9689999999999994</v>
      </c>
      <c r="N230" s="15">
        <v>19.0</v>
      </c>
      <c r="O230" s="15">
        <v>5.0</v>
      </c>
      <c r="P230" s="15">
        <v>5.0</v>
      </c>
      <c r="Q230" s="17" t="str">
        <f t="shared" si="1"/>
        <v>1</v>
      </c>
      <c r="R230" s="17" t="str">
        <f t="shared" si="2"/>
        <v>0.875</v>
      </c>
      <c r="S230" s="17" t="str">
        <f t="shared" si="8"/>
        <v>0.2631578947</v>
      </c>
      <c r="T230" s="17" t="s">
        <v>30</v>
      </c>
      <c r="U230" s="17" t="s">
        <v>31</v>
      </c>
      <c r="V230" s="17" t="str">
        <f t="shared" si="203"/>
        <v>Partial discharge, Normal </v>
      </c>
      <c r="W230" s="17" t="str">
        <f t="shared" si="3"/>
        <v>1</v>
      </c>
      <c r="X230" s="17" t="str">
        <f t="shared" si="33"/>
        <v>0.875</v>
      </c>
      <c r="Y230" s="17" t="str">
        <f t="shared" si="9"/>
        <v>0.2631578947</v>
      </c>
      <c r="Z230" s="17" t="s">
        <v>34</v>
      </c>
      <c r="AA230" s="17" t="s">
        <v>34</v>
      </c>
      <c r="AB230" s="17" t="s">
        <v>107</v>
      </c>
      <c r="AC230" s="17" t="str">
        <f t="shared" si="5"/>
        <v>0.875</v>
      </c>
      <c r="AD230" s="18" t="str">
        <f t="shared" si="10"/>
        <v>1</v>
      </c>
      <c r="AE230" s="17" t="str">
        <f t="shared" si="6"/>
        <v>1.259763165</v>
      </c>
      <c r="AF230" s="17" t="str">
        <f t="shared" si="11"/>
        <v>3.8</v>
      </c>
      <c r="AG230" s="17" t="s">
        <v>30</v>
      </c>
      <c r="AH230" s="17" t="str">
        <f t="shared" si="68"/>
        <v>Arching</v>
      </c>
      <c r="AI230" s="17" t="str">
        <f t="shared" si="16"/>
        <v>Arching</v>
      </c>
      <c r="AJ230" s="17" t="str">
        <f t="shared" si="7"/>
        <v>Thermal Decomposition,corona </v>
      </c>
    </row>
    <row r="231" ht="12.75" customHeight="1">
      <c r="A231" s="11">
        <v>229.0</v>
      </c>
      <c r="B231" s="13" t="s">
        <v>252</v>
      </c>
      <c r="C231" s="13" t="s">
        <v>186</v>
      </c>
      <c r="D231" s="13" t="s">
        <v>249</v>
      </c>
      <c r="E231" s="13" t="s">
        <v>106</v>
      </c>
      <c r="F231" s="13">
        <v>2004.0</v>
      </c>
      <c r="G231" s="14">
        <v>8.2</v>
      </c>
      <c r="H231" s="15">
        <v>6.97</v>
      </c>
      <c r="I231" s="15">
        <v>15914.56</v>
      </c>
      <c r="J231" s="15">
        <v>62685.802</v>
      </c>
      <c r="K231" s="15">
        <v>189.09199999999998</v>
      </c>
      <c r="L231" s="15">
        <v>2021.9560000000001</v>
      </c>
      <c r="M231" s="15">
        <v>8.0</v>
      </c>
      <c r="N231" s="15">
        <v>4.0</v>
      </c>
      <c r="O231" s="15">
        <v>7.0</v>
      </c>
      <c r="P231" s="15">
        <v>9.0</v>
      </c>
      <c r="Q231" s="17" t="str">
        <f t="shared" si="1"/>
        <v>1.285714286</v>
      </c>
      <c r="R231" s="17" t="str">
        <f t="shared" si="2"/>
        <v>1.147776184</v>
      </c>
      <c r="S231" s="17" t="str">
        <f t="shared" si="8"/>
        <v>1.75</v>
      </c>
      <c r="T231" s="17" t="s">
        <v>30</v>
      </c>
      <c r="U231" s="17" t="str">
        <f t="shared" ref="U231:U233" si="204">IF(R231&lt;0.1, "Partial discharge", "Low temperature thermal ")</f>
        <v>Low temperature thermal </v>
      </c>
      <c r="V231" s="17" t="s">
        <v>37</v>
      </c>
      <c r="W231" s="17" t="str">
        <f t="shared" si="3"/>
        <v>1.285714286</v>
      </c>
      <c r="X231" s="17" t="str">
        <f t="shared" si="33"/>
        <v>1.147776184</v>
      </c>
      <c r="Y231" s="17" t="str">
        <f t="shared" si="9"/>
        <v>1.75</v>
      </c>
      <c r="Z231" s="17" t="str">
        <f t="shared" ref="Z231:Z233" si="205">IF(W231&gt;1,"Discharge of Low Energy,  ",IF(W231&lt;0.1,"Thermal  Fault&gt; 300c and&lt;700 c"))</f>
        <v>Discharge of Low Energy,  </v>
      </c>
      <c r="AA231" s="17" t="str">
        <f t="shared" ref="AA231:AA232" si="206">IF(X231&lt;0.1,"Partial Discharges, ",IF(X231&gt;1,"Thermal  Fault &gt;300c and&lt;700 and &gt;700 c"))</f>
        <v>Thermal  Fault &gt;300c and&lt;700 and &gt;700 c</v>
      </c>
      <c r="AB231" s="17" t="str">
        <f>IF(Y231&lt;0.2,"Partial Discharges, ",IF(Y231&gt;1,"Thermal  Fault  &gt;700 c"))</f>
        <v>Thermal  Fault  &gt;700 c</v>
      </c>
      <c r="AC231" s="17" t="str">
        <f t="shared" si="5"/>
        <v>1.147776184</v>
      </c>
      <c r="AD231" s="18" t="str">
        <f t="shared" si="10"/>
        <v>1.285714286</v>
      </c>
      <c r="AE231" s="17" t="str">
        <f t="shared" si="6"/>
        <v>1.125</v>
      </c>
      <c r="AF231" s="17" t="str">
        <f t="shared" si="11"/>
        <v>0.4444444444</v>
      </c>
      <c r="AG231" s="17" t="str">
        <f t="shared" ref="AG231:AG232" si="207">IF(AC231&gt;1,"Thermal Decomposition, ",IF(AC231&lt;0.1,"Corona,Arching"))</f>
        <v>Thermal Decomposition, </v>
      </c>
      <c r="AH231" s="17" t="str">
        <f t="shared" si="68"/>
        <v>Arching</v>
      </c>
      <c r="AI231" s="17" t="str">
        <f t="shared" si="16"/>
        <v>Arching</v>
      </c>
      <c r="AJ231" s="17" t="str">
        <f t="shared" si="7"/>
        <v>Thermal Decomposition,corona </v>
      </c>
    </row>
    <row r="232" ht="12.75" customHeight="1">
      <c r="A232" s="11">
        <v>230.0</v>
      </c>
      <c r="B232" s="13" t="s">
        <v>253</v>
      </c>
      <c r="C232" s="13" t="s">
        <v>82</v>
      </c>
      <c r="D232" s="13" t="s">
        <v>249</v>
      </c>
      <c r="E232" s="13" t="s">
        <v>106</v>
      </c>
      <c r="F232" s="13">
        <v>2001.0</v>
      </c>
      <c r="G232" s="14">
        <v>8.4</v>
      </c>
      <c r="H232" s="15">
        <v>8.316</v>
      </c>
      <c r="I232" s="15">
        <v>14533.596</v>
      </c>
      <c r="J232" s="15">
        <v>66667.356</v>
      </c>
      <c r="K232" s="15">
        <v>184.29600000000002</v>
      </c>
      <c r="L232" s="15">
        <v>2006.0880000000002</v>
      </c>
      <c r="M232" s="15">
        <v>9.0</v>
      </c>
      <c r="N232" s="15">
        <v>8.0</v>
      </c>
      <c r="O232" s="15">
        <v>8.0</v>
      </c>
      <c r="P232" s="15">
        <v>9.0</v>
      </c>
      <c r="Q232" s="17" t="str">
        <f t="shared" si="1"/>
        <v>1.125</v>
      </c>
      <c r="R232" s="17" t="str">
        <f t="shared" si="2"/>
        <v>1.082251082</v>
      </c>
      <c r="S232" s="17" t="str">
        <f t="shared" si="8"/>
        <v>1</v>
      </c>
      <c r="T232" s="17" t="s">
        <v>30</v>
      </c>
      <c r="U232" s="17" t="str">
        <f t="shared" si="204"/>
        <v>Low temperature thermal </v>
      </c>
      <c r="V232" s="17" t="s">
        <v>37</v>
      </c>
      <c r="W232" s="17" t="str">
        <f t="shared" si="3"/>
        <v>1.125</v>
      </c>
      <c r="X232" s="17" t="str">
        <f t="shared" si="33"/>
        <v>1.082251082</v>
      </c>
      <c r="Y232" s="17" t="str">
        <f t="shared" si="9"/>
        <v>1</v>
      </c>
      <c r="Z232" s="17" t="str">
        <f t="shared" si="205"/>
        <v>Discharge of Low Energy,  </v>
      </c>
      <c r="AA232" s="17" t="str">
        <f t="shared" si="206"/>
        <v>Thermal  Fault &gt;300c and&lt;700 and &gt;700 c</v>
      </c>
      <c r="AB232" s="17" t="s">
        <v>107</v>
      </c>
      <c r="AC232" s="17" t="str">
        <f t="shared" si="5"/>
        <v>1.082251082</v>
      </c>
      <c r="AD232" s="18" t="str">
        <f t="shared" si="10"/>
        <v>1.125</v>
      </c>
      <c r="AE232" s="17" t="str">
        <f t="shared" si="6"/>
        <v>1</v>
      </c>
      <c r="AF232" s="17" t="str">
        <f t="shared" si="11"/>
        <v>0.8888888889</v>
      </c>
      <c r="AG232" s="17" t="str">
        <f t="shared" si="207"/>
        <v>Thermal Decomposition, </v>
      </c>
      <c r="AH232" s="17" t="str">
        <f t="shared" si="68"/>
        <v>Arching</v>
      </c>
      <c r="AI232" s="17" t="str">
        <f t="shared" si="16"/>
        <v>Arching</v>
      </c>
      <c r="AJ232" s="17" t="str">
        <f t="shared" si="7"/>
        <v>Thermal Decomposition,corona </v>
      </c>
    </row>
    <row r="233" ht="12.75" customHeight="1">
      <c r="A233" s="11">
        <v>231.0</v>
      </c>
      <c r="B233" s="13" t="s">
        <v>254</v>
      </c>
      <c r="C233" s="13" t="s">
        <v>186</v>
      </c>
      <c r="D233" s="13" t="s">
        <v>249</v>
      </c>
      <c r="E233" s="13" t="s">
        <v>130</v>
      </c>
      <c r="F233" s="13">
        <v>2017.0</v>
      </c>
      <c r="G233" s="14">
        <v>8.1</v>
      </c>
      <c r="H233" s="15">
        <v>10.773</v>
      </c>
      <c r="I233" s="15">
        <v>14758.443</v>
      </c>
      <c r="J233" s="15">
        <v>63536.31899999999</v>
      </c>
      <c r="K233" s="15">
        <v>185.976</v>
      </c>
      <c r="L233" s="15">
        <v>1914.2730000000001</v>
      </c>
      <c r="M233" s="15">
        <v>9.0</v>
      </c>
      <c r="N233" s="15">
        <v>9.0</v>
      </c>
      <c r="O233" s="15">
        <v>6.0</v>
      </c>
      <c r="P233" s="15">
        <v>8.0</v>
      </c>
      <c r="Q233" s="17" t="str">
        <f t="shared" si="1"/>
        <v>1.333333333</v>
      </c>
      <c r="R233" s="17" t="str">
        <f t="shared" si="2"/>
        <v>0.8354218881</v>
      </c>
      <c r="S233" s="17" t="str">
        <f t="shared" si="8"/>
        <v>0.6666666667</v>
      </c>
      <c r="T233" s="17" t="s">
        <v>30</v>
      </c>
      <c r="U233" s="17" t="str">
        <f t="shared" si="204"/>
        <v>Low temperature thermal </v>
      </c>
      <c r="V233" s="17" t="str">
        <f t="shared" ref="V233:V234" si="208">IF(S233&lt;1,"Partial discharge, Normal ",IF(S233&gt;3,"Arching,Thermal  Fault &gt; 700 c"))</f>
        <v>Partial discharge, Normal </v>
      </c>
      <c r="W233" s="17" t="str">
        <f t="shared" si="3"/>
        <v>1.333333333</v>
      </c>
      <c r="X233" s="17" t="str">
        <f t="shared" si="33"/>
        <v>0.8354218881</v>
      </c>
      <c r="Y233" s="17" t="str">
        <f t="shared" si="9"/>
        <v>0.6666666667</v>
      </c>
      <c r="Z233" s="17" t="str">
        <f t="shared" si="205"/>
        <v>Discharge of Low Energy,  </v>
      </c>
      <c r="AA233" s="17" t="s">
        <v>34</v>
      </c>
      <c r="AB233" s="17" t="s">
        <v>107</v>
      </c>
      <c r="AC233" s="17" t="str">
        <f t="shared" si="5"/>
        <v>0.8354218881</v>
      </c>
      <c r="AD233" s="18" t="str">
        <f t="shared" si="10"/>
        <v>1.333333333</v>
      </c>
      <c r="AE233" s="17" t="str">
        <f t="shared" si="6"/>
        <v>0.8888888889</v>
      </c>
      <c r="AF233" s="17" t="str">
        <f t="shared" si="11"/>
        <v>1.125</v>
      </c>
      <c r="AG233" s="17" t="s">
        <v>30</v>
      </c>
      <c r="AH233" s="17" t="str">
        <f t="shared" si="68"/>
        <v>Arching</v>
      </c>
      <c r="AI233" s="17" t="str">
        <f t="shared" si="16"/>
        <v>Arching</v>
      </c>
      <c r="AJ233" s="17" t="str">
        <f t="shared" si="7"/>
        <v>Thermal Decomposition,corona </v>
      </c>
    </row>
    <row r="234" ht="12.75" customHeight="1">
      <c r="A234" s="11">
        <v>232.0</v>
      </c>
      <c r="B234" s="13" t="s">
        <v>255</v>
      </c>
      <c r="C234" s="13" t="s">
        <v>186</v>
      </c>
      <c r="D234" s="13" t="s">
        <v>249</v>
      </c>
      <c r="E234" s="13" t="s">
        <v>130</v>
      </c>
      <c r="F234" s="13">
        <v>2017.0</v>
      </c>
      <c r="G234" s="14">
        <v>7.8</v>
      </c>
      <c r="H234" s="15">
        <v>14.741999999999999</v>
      </c>
      <c r="I234" s="15">
        <v>16041.245999999997</v>
      </c>
      <c r="J234" s="15">
        <v>59302.541999999994</v>
      </c>
      <c r="K234" s="15">
        <v>172.77</v>
      </c>
      <c r="L234" s="15">
        <v>1818.336</v>
      </c>
      <c r="M234" s="15">
        <v>6.63</v>
      </c>
      <c r="N234" s="15">
        <v>6.0</v>
      </c>
      <c r="O234" s="15">
        <v>5.0</v>
      </c>
      <c r="P234" s="15">
        <v>5.0</v>
      </c>
      <c r="Q234" s="17" t="str">
        <f t="shared" si="1"/>
        <v>1</v>
      </c>
      <c r="R234" s="17" t="str">
        <f t="shared" si="2"/>
        <v>0.4497354497</v>
      </c>
      <c r="S234" s="17" t="str">
        <f t="shared" si="8"/>
        <v>0.8333333333</v>
      </c>
      <c r="T234" s="17" t="s">
        <v>30</v>
      </c>
      <c r="U234" s="17" t="s">
        <v>31</v>
      </c>
      <c r="V234" s="17" t="str">
        <f t="shared" si="208"/>
        <v>Partial discharge, Normal </v>
      </c>
      <c r="W234" s="17" t="str">
        <f t="shared" si="3"/>
        <v>1</v>
      </c>
      <c r="X234" s="17" t="str">
        <f t="shared" si="33"/>
        <v>0.4497354497</v>
      </c>
      <c r="Y234" s="17" t="str">
        <f t="shared" si="9"/>
        <v>0.8333333333</v>
      </c>
      <c r="Z234" s="17" t="s">
        <v>34</v>
      </c>
      <c r="AA234" s="17" t="s">
        <v>34</v>
      </c>
      <c r="AB234" s="17" t="s">
        <v>107</v>
      </c>
      <c r="AC234" s="17" t="str">
        <f t="shared" si="5"/>
        <v>0.4497354497</v>
      </c>
      <c r="AD234" s="18" t="str">
        <f t="shared" si="10"/>
        <v>1</v>
      </c>
      <c r="AE234" s="17" t="str">
        <f t="shared" si="6"/>
        <v>0.754147813</v>
      </c>
      <c r="AF234" s="17" t="str">
        <f t="shared" si="11"/>
        <v>1.2</v>
      </c>
      <c r="AG234" s="17" t="s">
        <v>30</v>
      </c>
      <c r="AH234" s="17" t="str">
        <f t="shared" si="68"/>
        <v>Arching</v>
      </c>
      <c r="AI234" s="17" t="str">
        <f t="shared" si="16"/>
        <v>Arching</v>
      </c>
      <c r="AJ234" s="17" t="str">
        <f t="shared" si="7"/>
        <v>Thermal Decomposition,corona </v>
      </c>
    </row>
    <row r="235" ht="12.75" customHeight="1">
      <c r="A235" s="11">
        <v>233.0</v>
      </c>
      <c r="B235" s="13" t="s">
        <v>256</v>
      </c>
      <c r="C235" s="13" t="s">
        <v>186</v>
      </c>
      <c r="D235" s="13" t="s">
        <v>249</v>
      </c>
      <c r="E235" s="13" t="s">
        <v>130</v>
      </c>
      <c r="F235" s="13">
        <v>2017.0</v>
      </c>
      <c r="G235" s="14">
        <v>8.1</v>
      </c>
      <c r="H235" s="15">
        <v>8.019</v>
      </c>
      <c r="I235" s="15">
        <v>16098.101999999997</v>
      </c>
      <c r="J235" s="15">
        <v>61956.090000000004</v>
      </c>
      <c r="K235" s="15">
        <v>161.676</v>
      </c>
      <c r="L235" s="15">
        <v>1671.435</v>
      </c>
      <c r="M235" s="15">
        <v>5.5889999999999995</v>
      </c>
      <c r="N235" s="15">
        <v>5.0</v>
      </c>
      <c r="O235" s="15">
        <v>9.0</v>
      </c>
      <c r="P235" s="15">
        <v>9.0</v>
      </c>
      <c r="Q235" s="17" t="str">
        <f t="shared" si="1"/>
        <v>1</v>
      </c>
      <c r="R235" s="17" t="str">
        <f t="shared" si="2"/>
        <v>0.696969697</v>
      </c>
      <c r="S235" s="17" t="str">
        <f t="shared" si="8"/>
        <v>1.8</v>
      </c>
      <c r="T235" s="17" t="s">
        <v>30</v>
      </c>
      <c r="U235" s="17" t="s">
        <v>31</v>
      </c>
      <c r="V235" s="17" t="s">
        <v>37</v>
      </c>
      <c r="W235" s="17" t="str">
        <f t="shared" si="3"/>
        <v>1</v>
      </c>
      <c r="X235" s="17" t="str">
        <f t="shared" si="33"/>
        <v>0.696969697</v>
      </c>
      <c r="Y235" s="17" t="str">
        <f t="shared" si="9"/>
        <v>1.8</v>
      </c>
      <c r="Z235" s="17" t="s">
        <v>34</v>
      </c>
      <c r="AA235" s="17" t="s">
        <v>34</v>
      </c>
      <c r="AB235" s="17" t="str">
        <f>IF(Y235&lt;0.2,"Partial Discharges, ",IF(Y235&gt;1,"Thermal  Fault  &gt;700 c"))</f>
        <v>Thermal  Fault  &gt;700 c</v>
      </c>
      <c r="AC235" s="17" t="str">
        <f t="shared" si="5"/>
        <v>0.696969697</v>
      </c>
      <c r="AD235" s="18" t="str">
        <f t="shared" si="10"/>
        <v>1</v>
      </c>
      <c r="AE235" s="17" t="str">
        <f t="shared" si="6"/>
        <v>1.610305958</v>
      </c>
      <c r="AF235" s="17" t="str">
        <f t="shared" si="11"/>
        <v>0.5555555556</v>
      </c>
      <c r="AG235" s="17" t="s">
        <v>30</v>
      </c>
      <c r="AH235" s="17" t="str">
        <f t="shared" si="68"/>
        <v>Arching</v>
      </c>
      <c r="AI235" s="17" t="str">
        <f t="shared" si="16"/>
        <v>Arching</v>
      </c>
      <c r="AJ235" s="17" t="str">
        <f t="shared" si="7"/>
        <v>Thermal Decomposition,corona </v>
      </c>
    </row>
    <row r="236" ht="12.75" customHeight="1">
      <c r="A236" s="11">
        <v>234.0</v>
      </c>
      <c r="B236" s="13" t="s">
        <v>257</v>
      </c>
      <c r="C236" s="13" t="s">
        <v>186</v>
      </c>
      <c r="D236" s="13" t="s">
        <v>249</v>
      </c>
      <c r="E236" s="13" t="s">
        <v>258</v>
      </c>
      <c r="F236" s="13">
        <v>2021.0</v>
      </c>
      <c r="G236" s="14">
        <v>8.1</v>
      </c>
      <c r="H236" s="15">
        <v>0.972</v>
      </c>
      <c r="I236" s="15">
        <v>15006.383999999996</v>
      </c>
      <c r="J236" s="15">
        <v>63629.793</v>
      </c>
      <c r="K236" s="15">
        <v>101.73599999999998</v>
      </c>
      <c r="L236" s="15">
        <v>1074.3029999999999</v>
      </c>
      <c r="M236" s="15">
        <v>9.0</v>
      </c>
      <c r="N236" s="15">
        <v>9.0</v>
      </c>
      <c r="O236" s="15">
        <v>6.0</v>
      </c>
      <c r="P236" s="15">
        <v>7.0</v>
      </c>
      <c r="Q236" s="17" t="str">
        <f t="shared" si="1"/>
        <v>1.166666667</v>
      </c>
      <c r="R236" s="17" t="str">
        <f t="shared" si="2"/>
        <v>9.259259259</v>
      </c>
      <c r="S236" s="17" t="str">
        <f t="shared" si="8"/>
        <v>0.6666666667</v>
      </c>
      <c r="T236" s="17" t="s">
        <v>30</v>
      </c>
      <c r="U236" s="17" t="str">
        <f>IF(R236&lt;0.1, "Partial discharge", "Low temperature thermal ")</f>
        <v>Low temperature thermal </v>
      </c>
      <c r="V236" s="17" t="str">
        <f>IF(S236&lt;1,"Partial discharge, Normal ",IF(S236&gt;3,"Arching,Thermal  Fault &gt; 700 c"))</f>
        <v>Partial discharge, Normal </v>
      </c>
      <c r="W236" s="17" t="str">
        <f t="shared" si="3"/>
        <v>1.166666667</v>
      </c>
      <c r="X236" s="17" t="str">
        <f t="shared" si="33"/>
        <v>9.259259259</v>
      </c>
      <c r="Y236" s="17" t="str">
        <f t="shared" si="9"/>
        <v>0.6666666667</v>
      </c>
      <c r="Z236" s="17" t="str">
        <f>IF(W236&gt;1,"Discharge of Low Energy,  ",IF(W236&lt;0.1,"Thermal  Fault&gt; 300c and&lt;700 c"))</f>
        <v>Discharge of Low Energy,  </v>
      </c>
      <c r="AA236" s="17" t="str">
        <f>IF(X236&lt;0.1,"Partial Discharges, ",IF(X236&gt;1,"Thermal  Fault &gt;300c and&lt;700 and &gt;700 c"))</f>
        <v>Thermal  Fault &gt;300c and&lt;700 and &gt;700 c</v>
      </c>
      <c r="AB236" s="17" t="s">
        <v>107</v>
      </c>
      <c r="AC236" s="17" t="str">
        <f t="shared" si="5"/>
        <v>9.259259259</v>
      </c>
      <c r="AD236" s="18" t="str">
        <f t="shared" si="10"/>
        <v>1.166666667</v>
      </c>
      <c r="AE236" s="17" t="str">
        <f t="shared" si="6"/>
        <v>0.7777777778</v>
      </c>
      <c r="AF236" s="17" t="str">
        <f t="shared" si="11"/>
        <v>1.285714286</v>
      </c>
      <c r="AG236" s="17" t="str">
        <f>IF(AC236&gt;1,"Thermal Decomposition, ",IF(AC236&lt;0.1,"Corona,Arching"))</f>
        <v>Thermal Decomposition, </v>
      </c>
      <c r="AH236" s="17" t="str">
        <f t="shared" si="68"/>
        <v>Arching</v>
      </c>
      <c r="AI236" s="17" t="str">
        <f t="shared" si="16"/>
        <v>Arching</v>
      </c>
      <c r="AJ236" s="17" t="str">
        <f t="shared" si="7"/>
        <v>Thermal Decomposition,corona </v>
      </c>
    </row>
    <row r="237" ht="12.75" customHeight="1">
      <c r="A237" s="11">
        <v>235.0</v>
      </c>
      <c r="B237" s="13" t="s">
        <v>259</v>
      </c>
      <c r="C237" s="13" t="s">
        <v>186</v>
      </c>
      <c r="D237" s="13" t="s">
        <v>249</v>
      </c>
      <c r="E237" s="13" t="s">
        <v>258</v>
      </c>
      <c r="F237" s="13">
        <v>2019.0</v>
      </c>
      <c r="G237" s="14">
        <v>7.9</v>
      </c>
      <c r="H237" s="15">
        <v>9.559000000000001</v>
      </c>
      <c r="I237" s="15">
        <v>15475.547000000002</v>
      </c>
      <c r="J237" s="15">
        <v>61182.024000000005</v>
      </c>
      <c r="K237" s="15">
        <v>146.54500000000002</v>
      </c>
      <c r="L237" s="15">
        <v>1577.077</v>
      </c>
      <c r="M237" s="15">
        <v>1.659</v>
      </c>
      <c r="N237" s="15">
        <v>6.0</v>
      </c>
      <c r="O237" s="15">
        <v>9.0</v>
      </c>
      <c r="P237" s="15">
        <v>8.0</v>
      </c>
      <c r="Q237" s="17" t="str">
        <f t="shared" si="1"/>
        <v>0.8888888889</v>
      </c>
      <c r="R237" s="17" t="str">
        <f t="shared" si="2"/>
        <v>0.173553719</v>
      </c>
      <c r="S237" s="17" t="str">
        <f t="shared" si="8"/>
        <v>1.5</v>
      </c>
      <c r="T237" s="17" t="str">
        <f t="shared" ref="T237:T239" si="209">IF(Q237&lt;1,"Partial discharge,Low Temprature thermal fault,")</f>
        <v>Partial discharge,Low Temprature thermal fault,</v>
      </c>
      <c r="U237" s="17" t="s">
        <v>31</v>
      </c>
      <c r="V237" s="17" t="s">
        <v>37</v>
      </c>
      <c r="W237" s="17" t="str">
        <f t="shared" si="3"/>
        <v>0.8888888889</v>
      </c>
      <c r="X237" s="17" t="str">
        <f t="shared" si="33"/>
        <v>0.173553719</v>
      </c>
      <c r="Y237" s="17" t="str">
        <f t="shared" si="9"/>
        <v>1.5</v>
      </c>
      <c r="Z237" s="17" t="s">
        <v>34</v>
      </c>
      <c r="AA237" s="17" t="s">
        <v>34</v>
      </c>
      <c r="AB237" s="17" t="str">
        <f t="shared" ref="AB237:AB239" si="210">IF(Y237&lt;0.2,"Partial Discharges, ",IF(Y237&gt;1,"Thermal  Fault  &gt;700 c"))</f>
        <v>Thermal  Fault  &gt;700 c</v>
      </c>
      <c r="AC237" s="17" t="str">
        <f t="shared" si="5"/>
        <v>0.173553719</v>
      </c>
      <c r="AD237" s="18" t="str">
        <f t="shared" si="10"/>
        <v>0.8888888889</v>
      </c>
      <c r="AE237" s="17" t="str">
        <f t="shared" si="6"/>
        <v>4.822182037</v>
      </c>
      <c r="AF237" s="17" t="str">
        <f t="shared" si="11"/>
        <v>0.75</v>
      </c>
      <c r="AG237" s="17" t="s">
        <v>30</v>
      </c>
      <c r="AH237" s="17" t="str">
        <f t="shared" si="68"/>
        <v>Arching</v>
      </c>
      <c r="AI237" s="17" t="str">
        <f t="shared" si="16"/>
        <v>Arching</v>
      </c>
      <c r="AJ237" s="17" t="str">
        <f t="shared" si="7"/>
        <v>Thermal Decomposition,corona </v>
      </c>
    </row>
    <row r="238" ht="12.75" customHeight="1">
      <c r="A238" s="11">
        <v>236.0</v>
      </c>
      <c r="B238" s="13" t="s">
        <v>260</v>
      </c>
      <c r="C238" s="13" t="s">
        <v>186</v>
      </c>
      <c r="D238" s="13" t="s">
        <v>249</v>
      </c>
      <c r="E238" s="13" t="s">
        <v>106</v>
      </c>
      <c r="F238" s="13">
        <v>2002.0</v>
      </c>
      <c r="G238" s="14">
        <v>8.4</v>
      </c>
      <c r="H238" s="15">
        <v>13.944</v>
      </c>
      <c r="I238" s="15">
        <v>16058.196000000002</v>
      </c>
      <c r="J238" s="15">
        <v>65353.512</v>
      </c>
      <c r="K238" s="15">
        <v>183.288</v>
      </c>
      <c r="L238" s="15">
        <v>1933.7640000000001</v>
      </c>
      <c r="M238" s="15">
        <v>13.691999999999998</v>
      </c>
      <c r="N238" s="15">
        <v>9.0</v>
      </c>
      <c r="O238" s="15">
        <v>10.164000000000001</v>
      </c>
      <c r="P238" s="15">
        <v>9.0</v>
      </c>
      <c r="Q238" s="17" t="str">
        <f t="shared" si="1"/>
        <v>0.8854781582</v>
      </c>
      <c r="R238" s="17" t="str">
        <f t="shared" si="2"/>
        <v>0.9819277108</v>
      </c>
      <c r="S238" s="17" t="str">
        <f t="shared" si="8"/>
        <v>1.129333333</v>
      </c>
      <c r="T238" s="17" t="str">
        <f t="shared" si="209"/>
        <v>Partial discharge,Low Temprature thermal fault,</v>
      </c>
      <c r="U238" s="17" t="s">
        <v>31</v>
      </c>
      <c r="V238" s="17" t="s">
        <v>37</v>
      </c>
      <c r="W238" s="17" t="str">
        <f t="shared" si="3"/>
        <v>0.8854781582</v>
      </c>
      <c r="X238" s="17" t="str">
        <f t="shared" si="33"/>
        <v>0.9819277108</v>
      </c>
      <c r="Y238" s="17" t="str">
        <f t="shared" si="9"/>
        <v>1.129333333</v>
      </c>
      <c r="Z238" s="17" t="s">
        <v>34</v>
      </c>
      <c r="AA238" s="17" t="s">
        <v>34</v>
      </c>
      <c r="AB238" s="17" t="str">
        <f t="shared" si="210"/>
        <v>Thermal  Fault  &gt;700 c</v>
      </c>
      <c r="AC238" s="17" t="str">
        <f t="shared" si="5"/>
        <v>0.9819277108</v>
      </c>
      <c r="AD238" s="18" t="str">
        <f t="shared" si="10"/>
        <v>0.8854781582</v>
      </c>
      <c r="AE238" s="17" t="str">
        <f t="shared" si="6"/>
        <v>0.657318142</v>
      </c>
      <c r="AF238" s="17" t="str">
        <f t="shared" si="11"/>
        <v>1</v>
      </c>
      <c r="AG238" s="17" t="s">
        <v>30</v>
      </c>
      <c r="AH238" s="17" t="str">
        <f t="shared" si="68"/>
        <v>Arching</v>
      </c>
      <c r="AI238" s="17" t="str">
        <f t="shared" si="16"/>
        <v>Arching</v>
      </c>
      <c r="AJ238" s="17" t="str">
        <f t="shared" si="7"/>
        <v>Thermal Decomposition,corona </v>
      </c>
    </row>
    <row r="239" ht="12.75" customHeight="1">
      <c r="A239" s="11">
        <v>237.0</v>
      </c>
      <c r="B239" s="13" t="s">
        <v>261</v>
      </c>
      <c r="C239" s="13" t="s">
        <v>82</v>
      </c>
      <c r="D239" s="13" t="s">
        <v>249</v>
      </c>
      <c r="E239" s="13" t="s">
        <v>106</v>
      </c>
      <c r="F239" s="13">
        <v>2001.0</v>
      </c>
      <c r="G239" s="14">
        <v>8.5</v>
      </c>
      <c r="H239" s="15">
        <v>5.695</v>
      </c>
      <c r="I239" s="15">
        <v>17330.055</v>
      </c>
      <c r="J239" s="15">
        <v>65294.025</v>
      </c>
      <c r="K239" s="15">
        <v>161.245</v>
      </c>
      <c r="L239" s="15">
        <v>1699.4050000000002</v>
      </c>
      <c r="M239" s="15">
        <v>6.715</v>
      </c>
      <c r="N239" s="15">
        <v>7.99</v>
      </c>
      <c r="O239" s="15">
        <v>13.854999999999999</v>
      </c>
      <c r="P239" s="15">
        <v>8.0</v>
      </c>
      <c r="Q239" s="17" t="str">
        <f t="shared" si="1"/>
        <v>0.5774088777</v>
      </c>
      <c r="R239" s="17" t="str">
        <f t="shared" si="2"/>
        <v>1.179104478</v>
      </c>
      <c r="S239" s="17" t="str">
        <f t="shared" si="8"/>
        <v>1.734042553</v>
      </c>
      <c r="T239" s="17" t="str">
        <f t="shared" si="209"/>
        <v>Partial discharge,Low Temprature thermal fault,</v>
      </c>
      <c r="U239" s="17" t="str">
        <f t="shared" ref="U239:U240" si="211">IF(R239&gt;1,"Thermal Fault &lt;700c, thermal fault &gt;700c ")</f>
        <v>Thermal Fault &lt;700c, thermal fault &gt;700c </v>
      </c>
      <c r="V239" s="17" t="s">
        <v>37</v>
      </c>
      <c r="W239" s="17" t="str">
        <f t="shared" si="3"/>
        <v>0.5774088777</v>
      </c>
      <c r="X239" s="17" t="str">
        <f t="shared" si="33"/>
        <v>1.179104478</v>
      </c>
      <c r="Y239" s="17" t="str">
        <f t="shared" si="9"/>
        <v>1.734042553</v>
      </c>
      <c r="Z239" s="17" t="s">
        <v>34</v>
      </c>
      <c r="AA239" s="17" t="str">
        <f t="shared" ref="AA239:AA240" si="212">IF(X239&lt;0.1,"Partial Discharges, ",IF(X239&gt;1,"Thermal  Fault &gt;300c and&lt;700 and &gt;700 c"))</f>
        <v>Thermal  Fault &gt;300c and&lt;700 and &gt;700 c</v>
      </c>
      <c r="AB239" s="17" t="str">
        <f t="shared" si="210"/>
        <v>Thermal  Fault  &gt;700 c</v>
      </c>
      <c r="AC239" s="17" t="str">
        <f t="shared" si="5"/>
        <v>1.179104478</v>
      </c>
      <c r="AD239" s="18" t="str">
        <f t="shared" si="10"/>
        <v>0.5774088777</v>
      </c>
      <c r="AE239" s="17" t="str">
        <f t="shared" si="6"/>
        <v>1.191362621</v>
      </c>
      <c r="AF239" s="17" t="str">
        <f t="shared" si="11"/>
        <v>0.99875</v>
      </c>
      <c r="AG239" s="17" t="str">
        <f t="shared" ref="AG239:AG240" si="213">IF(AC239&gt;1,"Thermal Decomposition, ",IF(AC239&lt;0.1,"Corona,Arching"))</f>
        <v>Thermal Decomposition, </v>
      </c>
      <c r="AH239" s="17" t="str">
        <f t="shared" si="68"/>
        <v>Thermal Decomposition, </v>
      </c>
      <c r="AI239" s="17" t="str">
        <f t="shared" si="16"/>
        <v>Arching</v>
      </c>
      <c r="AJ239" s="17" t="str">
        <f t="shared" si="7"/>
        <v>Thermal Decomposition,corona </v>
      </c>
    </row>
    <row r="240" ht="12.75" customHeight="1">
      <c r="A240" s="11">
        <v>238.0</v>
      </c>
      <c r="B240" s="13" t="s">
        <v>262</v>
      </c>
      <c r="C240" s="13" t="s">
        <v>82</v>
      </c>
      <c r="D240" s="13" t="s">
        <v>249</v>
      </c>
      <c r="E240" s="13" t="s">
        <v>106</v>
      </c>
      <c r="F240" s="13">
        <v>1991.0</v>
      </c>
      <c r="G240" s="14">
        <v>8.2</v>
      </c>
      <c r="H240" s="15">
        <v>11.151999999999997</v>
      </c>
      <c r="I240" s="15">
        <v>15756.792</v>
      </c>
      <c r="J240" s="15">
        <v>63315.88999999999</v>
      </c>
      <c r="K240" s="15">
        <v>200.162</v>
      </c>
      <c r="L240" s="15">
        <v>2133.886</v>
      </c>
      <c r="M240" s="15">
        <v>13.365999999999998</v>
      </c>
      <c r="N240" s="15">
        <v>9.0</v>
      </c>
      <c r="O240" s="15">
        <v>9.0</v>
      </c>
      <c r="P240" s="15">
        <v>9.0</v>
      </c>
      <c r="Q240" s="17" t="str">
        <f t="shared" si="1"/>
        <v>1</v>
      </c>
      <c r="R240" s="17" t="str">
        <f t="shared" si="2"/>
        <v>1.198529412</v>
      </c>
      <c r="S240" s="17" t="str">
        <f t="shared" si="8"/>
        <v>1</v>
      </c>
      <c r="T240" s="17" t="s">
        <v>30</v>
      </c>
      <c r="U240" s="17" t="str">
        <f t="shared" si="211"/>
        <v>Thermal Fault &lt;700c, thermal fault &gt;700c </v>
      </c>
      <c r="V240" s="17" t="s">
        <v>37</v>
      </c>
      <c r="W240" s="17" t="str">
        <f t="shared" si="3"/>
        <v>1</v>
      </c>
      <c r="X240" s="17" t="str">
        <f t="shared" si="33"/>
        <v>1.198529412</v>
      </c>
      <c r="Y240" s="17" t="str">
        <f t="shared" si="9"/>
        <v>1</v>
      </c>
      <c r="Z240" s="17" t="s">
        <v>34</v>
      </c>
      <c r="AA240" s="17" t="str">
        <f t="shared" si="212"/>
        <v>Thermal  Fault &gt;300c and&lt;700 and &gt;700 c</v>
      </c>
      <c r="AB240" s="17" t="s">
        <v>107</v>
      </c>
      <c r="AC240" s="17" t="str">
        <f t="shared" si="5"/>
        <v>1.198529412</v>
      </c>
      <c r="AD240" s="18" t="str">
        <f t="shared" si="10"/>
        <v>1</v>
      </c>
      <c r="AE240" s="17" t="str">
        <f t="shared" si="6"/>
        <v>0.6733502918</v>
      </c>
      <c r="AF240" s="17" t="str">
        <f t="shared" si="11"/>
        <v>1</v>
      </c>
      <c r="AG240" s="17" t="str">
        <f t="shared" si="213"/>
        <v>Thermal Decomposition, </v>
      </c>
      <c r="AH240" s="17" t="str">
        <f t="shared" si="68"/>
        <v>Arching</v>
      </c>
      <c r="AI240" s="17" t="str">
        <f t="shared" si="16"/>
        <v>Arching</v>
      </c>
      <c r="AJ240" s="17" t="str">
        <f t="shared" si="7"/>
        <v>Thermal Decomposition,corona </v>
      </c>
    </row>
    <row r="241" ht="12.75" customHeight="1">
      <c r="A241" s="11">
        <v>239.0</v>
      </c>
      <c r="B241" s="13" t="s">
        <v>263</v>
      </c>
      <c r="C241" s="13" t="s">
        <v>82</v>
      </c>
      <c r="D241" s="13" t="s">
        <v>249</v>
      </c>
      <c r="E241" s="13" t="s">
        <v>106</v>
      </c>
      <c r="F241" s="13">
        <v>1993.0</v>
      </c>
      <c r="G241" s="14">
        <v>8.4</v>
      </c>
      <c r="H241" s="15">
        <v>6.972</v>
      </c>
      <c r="I241" s="15">
        <v>17104.920000000002</v>
      </c>
      <c r="J241" s="15">
        <v>64379.86800000001</v>
      </c>
      <c r="K241" s="15">
        <v>177.40800000000002</v>
      </c>
      <c r="L241" s="15">
        <v>1849.7640000000001</v>
      </c>
      <c r="M241" s="15">
        <v>5.292</v>
      </c>
      <c r="N241" s="15">
        <v>12.0</v>
      </c>
      <c r="O241" s="15">
        <v>8.0</v>
      </c>
      <c r="P241" s="15">
        <v>7.0</v>
      </c>
      <c r="Q241" s="17" t="str">
        <f t="shared" si="1"/>
        <v>0.875</v>
      </c>
      <c r="R241" s="17" t="str">
        <f t="shared" si="2"/>
        <v>0.7590361446</v>
      </c>
      <c r="S241" s="17" t="str">
        <f t="shared" si="8"/>
        <v>0.6666666667</v>
      </c>
      <c r="T241" s="17" t="str">
        <f t="shared" ref="T241:T242" si="214">IF(Q241&lt;1,"Partial discharge,Low Temprature thermal fault,")</f>
        <v>Partial discharge,Low Temprature thermal fault,</v>
      </c>
      <c r="U241" s="17" t="s">
        <v>31</v>
      </c>
      <c r="V241" s="17" t="str">
        <f t="shared" ref="V241:V243" si="215">IF(S241&lt;1,"Partial discharge, Normal ",IF(S241&gt;3,"Arching,Thermal  Fault &gt; 700 c"))</f>
        <v>Partial discharge, Normal </v>
      </c>
      <c r="W241" s="17" t="str">
        <f t="shared" si="3"/>
        <v>0.875</v>
      </c>
      <c r="X241" s="17" t="str">
        <f t="shared" si="33"/>
        <v>0.7590361446</v>
      </c>
      <c r="Y241" s="17" t="str">
        <f t="shared" si="9"/>
        <v>0.6666666667</v>
      </c>
      <c r="Z241" s="17" t="s">
        <v>34</v>
      </c>
      <c r="AA241" s="17" t="s">
        <v>34</v>
      </c>
      <c r="AB241" s="17" t="s">
        <v>107</v>
      </c>
      <c r="AC241" s="17" t="str">
        <f t="shared" si="5"/>
        <v>0.7590361446</v>
      </c>
      <c r="AD241" s="18" t="str">
        <f t="shared" si="10"/>
        <v>0.875</v>
      </c>
      <c r="AE241" s="17" t="str">
        <f t="shared" si="6"/>
        <v>1.322751323</v>
      </c>
      <c r="AF241" s="17" t="str">
        <f t="shared" si="11"/>
        <v>1.714285714</v>
      </c>
      <c r="AG241" s="17" t="s">
        <v>30</v>
      </c>
      <c r="AH241" s="17" t="str">
        <f t="shared" si="68"/>
        <v>Arching</v>
      </c>
      <c r="AI241" s="17" t="str">
        <f t="shared" si="16"/>
        <v>Arching</v>
      </c>
      <c r="AJ241" s="17" t="str">
        <f t="shared" si="7"/>
        <v>Thermal Decomposition,corona </v>
      </c>
    </row>
    <row r="242" ht="12.75" customHeight="1">
      <c r="A242" s="11">
        <v>240.0</v>
      </c>
      <c r="B242" s="13">
        <v>10469.0</v>
      </c>
      <c r="C242" s="13" t="s">
        <v>82</v>
      </c>
      <c r="D242" s="13" t="s">
        <v>249</v>
      </c>
      <c r="E242" s="13" t="s">
        <v>264</v>
      </c>
      <c r="F242" s="13">
        <v>1989.0</v>
      </c>
      <c r="G242" s="14">
        <v>8.3</v>
      </c>
      <c r="H242" s="15">
        <v>10.375</v>
      </c>
      <c r="I242" s="15">
        <v>16388.682000000004</v>
      </c>
      <c r="J242" s="15">
        <v>63474.748000000014</v>
      </c>
      <c r="K242" s="15">
        <v>191.39800000000002</v>
      </c>
      <c r="L242" s="15">
        <v>2038.7290000000003</v>
      </c>
      <c r="M242" s="15">
        <v>5.229</v>
      </c>
      <c r="N242" s="15">
        <v>8.0</v>
      </c>
      <c r="O242" s="15">
        <v>7.0</v>
      </c>
      <c r="P242" s="15">
        <v>6.0</v>
      </c>
      <c r="Q242" s="17" t="str">
        <f t="shared" si="1"/>
        <v>0.8571428571</v>
      </c>
      <c r="R242" s="17" t="str">
        <f t="shared" si="2"/>
        <v>0.504</v>
      </c>
      <c r="S242" s="17" t="str">
        <f t="shared" si="8"/>
        <v>0.875</v>
      </c>
      <c r="T242" s="17" t="str">
        <f t="shared" si="214"/>
        <v>Partial discharge,Low Temprature thermal fault,</v>
      </c>
      <c r="U242" s="17" t="s">
        <v>31</v>
      </c>
      <c r="V242" s="17" t="str">
        <f t="shared" si="215"/>
        <v>Partial discharge, Normal </v>
      </c>
      <c r="W242" s="17" t="str">
        <f t="shared" si="3"/>
        <v>0.8571428571</v>
      </c>
      <c r="X242" s="17" t="str">
        <f t="shared" si="33"/>
        <v>0.504</v>
      </c>
      <c r="Y242" s="17" t="str">
        <f t="shared" si="9"/>
        <v>0.875</v>
      </c>
      <c r="Z242" s="17" t="s">
        <v>34</v>
      </c>
      <c r="AA242" s="17" t="s">
        <v>34</v>
      </c>
      <c r="AB242" s="17" t="s">
        <v>107</v>
      </c>
      <c r="AC242" s="17" t="str">
        <f t="shared" si="5"/>
        <v>0.504</v>
      </c>
      <c r="AD242" s="18" t="str">
        <f t="shared" si="10"/>
        <v>0.8571428571</v>
      </c>
      <c r="AE242" s="17" t="str">
        <f t="shared" si="6"/>
        <v>1.147446931</v>
      </c>
      <c r="AF242" s="17" t="str">
        <f t="shared" si="11"/>
        <v>1.333333333</v>
      </c>
      <c r="AG242" s="17" t="s">
        <v>30</v>
      </c>
      <c r="AH242" s="17" t="str">
        <f t="shared" si="68"/>
        <v>Arching</v>
      </c>
      <c r="AI242" s="17" t="str">
        <f t="shared" si="16"/>
        <v>Arching</v>
      </c>
      <c r="AJ242" s="17" t="str">
        <f t="shared" si="7"/>
        <v>Thermal Decomposition,corona </v>
      </c>
    </row>
    <row r="243" ht="12.75" customHeight="1">
      <c r="A243" s="11">
        <v>241.0</v>
      </c>
      <c r="B243" s="13" t="s">
        <v>265</v>
      </c>
      <c r="C243" s="13" t="s">
        <v>82</v>
      </c>
      <c r="D243" s="13" t="s">
        <v>249</v>
      </c>
      <c r="E243" s="13" t="s">
        <v>106</v>
      </c>
      <c r="F243" s="13">
        <v>1994.0</v>
      </c>
      <c r="G243" s="14">
        <v>8.5</v>
      </c>
      <c r="H243" s="15">
        <v>46.239999999999995</v>
      </c>
      <c r="I243" s="15">
        <v>16210.859999999999</v>
      </c>
      <c r="J243" s="15">
        <v>65706.615</v>
      </c>
      <c r="K243" s="15">
        <v>171.785</v>
      </c>
      <c r="L243" s="15">
        <v>1804.72</v>
      </c>
      <c r="M243" s="15">
        <v>8.159999999999998</v>
      </c>
      <c r="N243" s="15">
        <v>1.7849999999999997</v>
      </c>
      <c r="O243" s="15">
        <v>13.090000000000002</v>
      </c>
      <c r="P243" s="15">
        <v>20.995</v>
      </c>
      <c r="Q243" s="17" t="str">
        <f t="shared" si="1"/>
        <v>1.603896104</v>
      </c>
      <c r="R243" s="17" t="str">
        <f t="shared" si="2"/>
        <v>0.1764705882</v>
      </c>
      <c r="S243" s="17" t="str">
        <f t="shared" si="8"/>
        <v>7.333333333</v>
      </c>
      <c r="T243" s="17" t="s">
        <v>30</v>
      </c>
      <c r="U243" s="17" t="s">
        <v>31</v>
      </c>
      <c r="V243" s="17" t="str">
        <f t="shared" si="215"/>
        <v>Arching,Thermal  Fault &gt; 700 c</v>
      </c>
      <c r="W243" s="17" t="str">
        <f t="shared" si="3"/>
        <v>1.603896104</v>
      </c>
      <c r="X243" s="17" t="str">
        <f t="shared" si="33"/>
        <v>0.1764705882</v>
      </c>
      <c r="Y243" s="17" t="str">
        <f t="shared" si="9"/>
        <v>7.333333333</v>
      </c>
      <c r="Z243" s="17" t="str">
        <f>IF(W243&gt;1,"Discharge of Low Energy,  ",IF(W243&lt;0.1,"Thermal  Fault&gt; 300c and&lt;700 c"))</f>
        <v>Discharge of Low Energy,  </v>
      </c>
      <c r="AA243" s="17" t="s">
        <v>34</v>
      </c>
      <c r="AB243" s="17" t="str">
        <f t="shared" ref="AB243:AB246" si="216">IF(Y243&lt;0.2,"Partial Discharges, ",IF(Y243&gt;1,"Thermal  Fault  &gt;700 c"))</f>
        <v>Thermal  Fault  &gt;700 c</v>
      </c>
      <c r="AC243" s="17" t="str">
        <f t="shared" si="5"/>
        <v>0.1764705882</v>
      </c>
      <c r="AD243" s="18" t="str">
        <f t="shared" si="10"/>
        <v>1.603896104</v>
      </c>
      <c r="AE243" s="17" t="str">
        <f t="shared" si="6"/>
        <v>2.572916667</v>
      </c>
      <c r="AF243" s="17" t="str">
        <f t="shared" si="11"/>
        <v>0.08502024291</v>
      </c>
      <c r="AG243" s="17" t="s">
        <v>30</v>
      </c>
      <c r="AH243" s="17" t="str">
        <f t="shared" si="68"/>
        <v>Arching</v>
      </c>
      <c r="AI243" s="17" t="str">
        <f t="shared" si="16"/>
        <v>Arching</v>
      </c>
      <c r="AJ243" s="17" t="str">
        <f t="shared" si="7"/>
        <v>Arching</v>
      </c>
    </row>
    <row r="244" ht="12.75" customHeight="1">
      <c r="A244" s="11">
        <v>242.0</v>
      </c>
      <c r="B244" s="13" t="s">
        <v>266</v>
      </c>
      <c r="C244" s="13" t="s">
        <v>82</v>
      </c>
      <c r="D244" s="13" t="s">
        <v>249</v>
      </c>
      <c r="E244" s="13" t="s">
        <v>106</v>
      </c>
      <c r="F244" s="13">
        <v>1995.0</v>
      </c>
      <c r="G244" s="14">
        <v>8.6</v>
      </c>
      <c r="H244" s="15">
        <v>39.474000000000004</v>
      </c>
      <c r="I244" s="15">
        <v>17659.325999999997</v>
      </c>
      <c r="J244" s="15">
        <v>65606.476</v>
      </c>
      <c r="K244" s="15">
        <v>197.97199999999998</v>
      </c>
      <c r="L244" s="15">
        <v>1974.8179999999998</v>
      </c>
      <c r="M244" s="15">
        <v>6.7940000000000005</v>
      </c>
      <c r="N244" s="15">
        <v>9.0</v>
      </c>
      <c r="O244" s="15">
        <v>12.04</v>
      </c>
      <c r="P244" s="15">
        <v>4.816</v>
      </c>
      <c r="Q244" s="17" t="str">
        <f t="shared" si="1"/>
        <v>0.4</v>
      </c>
      <c r="R244" s="17" t="str">
        <f t="shared" si="2"/>
        <v>0.1721132898</v>
      </c>
      <c r="S244" s="17" t="str">
        <f t="shared" si="8"/>
        <v>1.337777778</v>
      </c>
      <c r="T244" s="17" t="str">
        <f t="shared" ref="T244:T245" si="217">IF(Q244&lt;1,"Partial discharge,Low Temprature thermal fault,")</f>
        <v>Partial discharge,Low Temprature thermal fault,</v>
      </c>
      <c r="U244" s="17" t="s">
        <v>31</v>
      </c>
      <c r="V244" s="17" t="s">
        <v>37</v>
      </c>
      <c r="W244" s="17" t="str">
        <f t="shared" si="3"/>
        <v>0.4</v>
      </c>
      <c r="X244" s="17" t="str">
        <f t="shared" si="33"/>
        <v>0.1721132898</v>
      </c>
      <c r="Y244" s="17" t="str">
        <f t="shared" si="9"/>
        <v>1.337777778</v>
      </c>
      <c r="Z244" s="17" t="s">
        <v>34</v>
      </c>
      <c r="AA244" s="17" t="s">
        <v>34</v>
      </c>
      <c r="AB244" s="17" t="str">
        <f t="shared" si="216"/>
        <v>Thermal  Fault  &gt;700 c</v>
      </c>
      <c r="AC244" s="17" t="str">
        <f t="shared" si="5"/>
        <v>0.1721132898</v>
      </c>
      <c r="AD244" s="18" t="str">
        <f t="shared" si="10"/>
        <v>0.4</v>
      </c>
      <c r="AE244" s="17" t="str">
        <f t="shared" si="6"/>
        <v>0.7088607595</v>
      </c>
      <c r="AF244" s="17" t="str">
        <f t="shared" si="11"/>
        <v>1.868770764</v>
      </c>
      <c r="AG244" s="17" t="s">
        <v>30</v>
      </c>
      <c r="AH244" s="17" t="str">
        <f t="shared" si="68"/>
        <v>Thermal Decomposition, </v>
      </c>
      <c r="AI244" s="17" t="str">
        <f t="shared" si="16"/>
        <v>Arching</v>
      </c>
      <c r="AJ244" s="17" t="str">
        <f t="shared" si="7"/>
        <v>Thermal Decomposition,corona </v>
      </c>
    </row>
    <row r="245" ht="12.75" customHeight="1">
      <c r="A245" s="11">
        <v>243.0</v>
      </c>
      <c r="B245" s="13" t="s">
        <v>267</v>
      </c>
      <c r="C245" s="13" t="s">
        <v>186</v>
      </c>
      <c r="D245" s="13" t="s">
        <v>249</v>
      </c>
      <c r="E245" s="13" t="s">
        <v>258</v>
      </c>
      <c r="F245" s="13">
        <v>2020.0</v>
      </c>
      <c r="G245" s="14">
        <v>7.9</v>
      </c>
      <c r="H245" s="15">
        <v>15.879000000000001</v>
      </c>
      <c r="I245" s="15">
        <v>16507.05</v>
      </c>
      <c r="J245" s="15">
        <v>60556.975999999995</v>
      </c>
      <c r="K245" s="15">
        <v>70.705</v>
      </c>
      <c r="L245" s="15">
        <v>841.3499999999999</v>
      </c>
      <c r="M245" s="15">
        <v>4.582</v>
      </c>
      <c r="N245" s="15">
        <v>6.0</v>
      </c>
      <c r="O245" s="15">
        <v>9.0</v>
      </c>
      <c r="P245" s="15">
        <v>6.0</v>
      </c>
      <c r="Q245" s="17" t="str">
        <f t="shared" si="1"/>
        <v>0.6666666667</v>
      </c>
      <c r="R245" s="17" t="str">
        <f t="shared" si="2"/>
        <v>0.2885572139</v>
      </c>
      <c r="S245" s="17" t="str">
        <f t="shared" si="8"/>
        <v>1.5</v>
      </c>
      <c r="T245" s="17" t="str">
        <f t="shared" si="217"/>
        <v>Partial discharge,Low Temprature thermal fault,</v>
      </c>
      <c r="U245" s="17" t="s">
        <v>31</v>
      </c>
      <c r="V245" s="17" t="s">
        <v>37</v>
      </c>
      <c r="W245" s="17" t="str">
        <f t="shared" si="3"/>
        <v>0.6666666667</v>
      </c>
      <c r="X245" s="17" t="str">
        <f t="shared" si="33"/>
        <v>0.2885572139</v>
      </c>
      <c r="Y245" s="17" t="str">
        <f t="shared" si="9"/>
        <v>1.5</v>
      </c>
      <c r="Z245" s="17" t="s">
        <v>34</v>
      </c>
      <c r="AA245" s="17" t="s">
        <v>34</v>
      </c>
      <c r="AB245" s="17" t="str">
        <f t="shared" si="216"/>
        <v>Thermal  Fault  &gt;700 c</v>
      </c>
      <c r="AC245" s="17" t="str">
        <f t="shared" si="5"/>
        <v>0.2885572139</v>
      </c>
      <c r="AD245" s="18" t="str">
        <f t="shared" si="10"/>
        <v>0.6666666667</v>
      </c>
      <c r="AE245" s="17" t="str">
        <f t="shared" si="6"/>
        <v>1.309471846</v>
      </c>
      <c r="AF245" s="17" t="str">
        <f t="shared" si="11"/>
        <v>1</v>
      </c>
      <c r="AG245" s="17" t="s">
        <v>30</v>
      </c>
      <c r="AH245" s="17" t="str">
        <f t="shared" si="68"/>
        <v>Thermal Decomposition, </v>
      </c>
      <c r="AI245" s="17" t="str">
        <f t="shared" si="16"/>
        <v>Arching</v>
      </c>
      <c r="AJ245" s="17" t="str">
        <f t="shared" si="7"/>
        <v>Thermal Decomposition,corona </v>
      </c>
    </row>
    <row r="246" ht="12.75" customHeight="1">
      <c r="A246" s="11">
        <v>244.0</v>
      </c>
      <c r="B246" s="13" t="s">
        <v>268</v>
      </c>
      <c r="C246" s="13" t="s">
        <v>186</v>
      </c>
      <c r="D246" s="13" t="s">
        <v>249</v>
      </c>
      <c r="E246" s="13" t="s">
        <v>106</v>
      </c>
      <c r="F246" s="13">
        <v>2003.0</v>
      </c>
      <c r="G246" s="14">
        <v>8.3</v>
      </c>
      <c r="H246" s="15">
        <v>3.984</v>
      </c>
      <c r="I246" s="15">
        <v>16417.981</v>
      </c>
      <c r="J246" s="15">
        <v>64042.55100000001</v>
      </c>
      <c r="K246" s="15">
        <v>177.205</v>
      </c>
      <c r="L246" s="15">
        <v>1857.872</v>
      </c>
      <c r="M246" s="15">
        <v>4.2330000000000005</v>
      </c>
      <c r="N246" s="15">
        <v>7.0</v>
      </c>
      <c r="O246" s="15">
        <v>8.0</v>
      </c>
      <c r="P246" s="15">
        <v>8.0</v>
      </c>
      <c r="Q246" s="17" t="str">
        <f t="shared" si="1"/>
        <v>1</v>
      </c>
      <c r="R246" s="17" t="str">
        <f t="shared" si="2"/>
        <v>1.0625</v>
      </c>
      <c r="S246" s="17" t="str">
        <f t="shared" si="8"/>
        <v>1.142857143</v>
      </c>
      <c r="T246" s="17" t="s">
        <v>30</v>
      </c>
      <c r="U246" s="17" t="str">
        <f>IF(R246&gt;1,"Thermal Fault &lt;700c, thermal fault &gt;700c ")</f>
        <v>Thermal Fault &lt;700c, thermal fault &gt;700c </v>
      </c>
      <c r="V246" s="17" t="s">
        <v>37</v>
      </c>
      <c r="W246" s="17" t="str">
        <f t="shared" si="3"/>
        <v>1</v>
      </c>
      <c r="X246" s="17" t="str">
        <f t="shared" si="33"/>
        <v>1.0625</v>
      </c>
      <c r="Y246" s="17" t="str">
        <f t="shared" si="9"/>
        <v>1.142857143</v>
      </c>
      <c r="Z246" s="17" t="s">
        <v>34</v>
      </c>
      <c r="AA246" s="17" t="str">
        <f>IF(X246&lt;0.1,"Partial Discharges, ",IF(X246&gt;1,"Thermal  Fault &gt;300c and&lt;700 and &gt;700 c"))</f>
        <v>Thermal  Fault &gt;300c and&lt;700 and &gt;700 c</v>
      </c>
      <c r="AB246" s="17" t="str">
        <f t="shared" si="216"/>
        <v>Thermal  Fault  &gt;700 c</v>
      </c>
      <c r="AC246" s="17" t="str">
        <f t="shared" si="5"/>
        <v>1.0625</v>
      </c>
      <c r="AD246" s="18" t="str">
        <f t="shared" si="10"/>
        <v>1</v>
      </c>
      <c r="AE246" s="17" t="str">
        <f t="shared" si="6"/>
        <v>1.889912592</v>
      </c>
      <c r="AF246" s="17" t="str">
        <f t="shared" si="11"/>
        <v>0.875</v>
      </c>
      <c r="AG246" s="17" t="str">
        <f>IF(AC246&gt;1,"Thermal Decomposition, ",IF(AC246&lt;0.1,"Corona,Arching"))</f>
        <v>Thermal Decomposition, </v>
      </c>
      <c r="AH246" s="17" t="str">
        <f t="shared" si="68"/>
        <v>Arching</v>
      </c>
      <c r="AI246" s="17" t="str">
        <f t="shared" si="16"/>
        <v>Arching</v>
      </c>
      <c r="AJ246" s="17" t="str">
        <f t="shared" si="7"/>
        <v>Thermal Decomposition,corona </v>
      </c>
    </row>
    <row r="247" ht="12.75" customHeight="1">
      <c r="A247" s="11">
        <v>245.0</v>
      </c>
      <c r="B247" s="13" t="s">
        <v>269</v>
      </c>
      <c r="C247" s="13" t="s">
        <v>186</v>
      </c>
      <c r="D247" s="13" t="s">
        <v>249</v>
      </c>
      <c r="E247" s="13" t="s">
        <v>106</v>
      </c>
      <c r="F247" s="13">
        <v>2003.0</v>
      </c>
      <c r="G247" s="14">
        <v>8.1</v>
      </c>
      <c r="H247" s="15">
        <v>6.885000000000001</v>
      </c>
      <c r="I247" s="15">
        <v>16521.650999999998</v>
      </c>
      <c r="J247" s="15">
        <v>61294.238999999994</v>
      </c>
      <c r="K247" s="15">
        <v>187.27199999999996</v>
      </c>
      <c r="L247" s="15">
        <v>1994.625</v>
      </c>
      <c r="M247" s="15">
        <v>1.053</v>
      </c>
      <c r="N247" s="15">
        <v>8.0</v>
      </c>
      <c r="O247" s="15">
        <v>6.0</v>
      </c>
      <c r="P247" s="15">
        <v>9.0</v>
      </c>
      <c r="Q247" s="17" t="str">
        <f t="shared" si="1"/>
        <v>1.5</v>
      </c>
      <c r="R247" s="17" t="str">
        <f t="shared" si="2"/>
        <v>0.1529411765</v>
      </c>
      <c r="S247" s="17" t="str">
        <f t="shared" si="8"/>
        <v>0.75</v>
      </c>
      <c r="T247" s="17" t="s">
        <v>30</v>
      </c>
      <c r="U247" s="17" t="s">
        <v>31</v>
      </c>
      <c r="V247" s="17" t="str">
        <f t="shared" ref="V247:V248" si="218">IF(S247&lt;1,"Partial discharge, Normal ",IF(S247&gt;3,"Arching,Thermal  Fault &gt; 700 c"))</f>
        <v>Partial discharge, Normal </v>
      </c>
      <c r="W247" s="17" t="str">
        <f t="shared" si="3"/>
        <v>1.5</v>
      </c>
      <c r="X247" s="17" t="str">
        <f t="shared" si="33"/>
        <v>0.1529411765</v>
      </c>
      <c r="Y247" s="17" t="str">
        <f t="shared" si="9"/>
        <v>0.75</v>
      </c>
      <c r="Z247" s="17" t="str">
        <f t="shared" ref="Z247:Z248" si="219">IF(W247&gt;1,"Discharge of Low Energy,  ",IF(W247&lt;0.1,"Thermal  Fault&gt; 300c and&lt;700 c"))</f>
        <v>Discharge of Low Energy,  </v>
      </c>
      <c r="AA247" s="17" t="s">
        <v>34</v>
      </c>
      <c r="AB247" s="17" t="s">
        <v>107</v>
      </c>
      <c r="AC247" s="17" t="str">
        <f t="shared" si="5"/>
        <v>0.1529411765</v>
      </c>
      <c r="AD247" s="18" t="str">
        <f t="shared" si="10"/>
        <v>1.5</v>
      </c>
      <c r="AE247" s="17" t="str">
        <f t="shared" si="6"/>
        <v>8.547008547</v>
      </c>
      <c r="AF247" s="17" t="str">
        <f t="shared" si="11"/>
        <v>0.8888888889</v>
      </c>
      <c r="AG247" s="17" t="s">
        <v>30</v>
      </c>
      <c r="AH247" s="17" t="str">
        <f t="shared" si="68"/>
        <v>Arching</v>
      </c>
      <c r="AI247" s="17" t="str">
        <f t="shared" si="16"/>
        <v>Arching</v>
      </c>
      <c r="AJ247" s="17" t="str">
        <f t="shared" si="7"/>
        <v>Thermal Decomposition,corona </v>
      </c>
    </row>
    <row r="248" ht="12.75" customHeight="1">
      <c r="A248" s="11">
        <v>246.0</v>
      </c>
      <c r="B248" s="13" t="s">
        <v>270</v>
      </c>
      <c r="C248" s="13" t="s">
        <v>186</v>
      </c>
      <c r="D248" s="13" t="s">
        <v>249</v>
      </c>
      <c r="E248" s="13" t="s">
        <v>106</v>
      </c>
      <c r="F248" s="13">
        <v>2004.0</v>
      </c>
      <c r="G248" s="14">
        <v>8.3</v>
      </c>
      <c r="H248" s="15">
        <v>12.865000000000002</v>
      </c>
      <c r="I248" s="15">
        <v>16657.602000000003</v>
      </c>
      <c r="J248" s="15">
        <v>63370.251000000004</v>
      </c>
      <c r="K248" s="15">
        <v>162.26500000000001</v>
      </c>
      <c r="L248" s="15">
        <v>1745.9050000000002</v>
      </c>
      <c r="M248" s="15">
        <v>7.968</v>
      </c>
      <c r="N248" s="15">
        <v>9.0</v>
      </c>
      <c r="O248" s="15">
        <v>3.735</v>
      </c>
      <c r="P248" s="15">
        <v>8.0</v>
      </c>
      <c r="Q248" s="17" t="str">
        <f t="shared" si="1"/>
        <v>2.141900937</v>
      </c>
      <c r="R248" s="17" t="str">
        <f t="shared" si="2"/>
        <v>0.6193548387</v>
      </c>
      <c r="S248" s="17" t="str">
        <f t="shared" si="8"/>
        <v>0.415</v>
      </c>
      <c r="T248" s="17" t="s">
        <v>30</v>
      </c>
      <c r="U248" s="17" t="s">
        <v>31</v>
      </c>
      <c r="V248" s="17" t="str">
        <f t="shared" si="218"/>
        <v>Partial discharge, Normal </v>
      </c>
      <c r="W248" s="17" t="str">
        <f t="shared" si="3"/>
        <v>2.141900937</v>
      </c>
      <c r="X248" s="17" t="str">
        <f t="shared" si="33"/>
        <v>0.6193548387</v>
      </c>
      <c r="Y248" s="17" t="str">
        <f t="shared" si="9"/>
        <v>0.415</v>
      </c>
      <c r="Z248" s="17" t="str">
        <f t="shared" si="219"/>
        <v>Discharge of Low Energy,  </v>
      </c>
      <c r="AA248" s="17" t="s">
        <v>34</v>
      </c>
      <c r="AB248" s="17" t="s">
        <v>107</v>
      </c>
      <c r="AC248" s="17" t="str">
        <f t="shared" si="5"/>
        <v>0.6193548387</v>
      </c>
      <c r="AD248" s="18" t="str">
        <f t="shared" si="10"/>
        <v>2.141900937</v>
      </c>
      <c r="AE248" s="17" t="str">
        <f t="shared" si="6"/>
        <v>1.004016064</v>
      </c>
      <c r="AF248" s="17" t="str">
        <f t="shared" si="11"/>
        <v>1.125</v>
      </c>
      <c r="AG248" s="17" t="s">
        <v>30</v>
      </c>
      <c r="AH248" s="17" t="str">
        <f t="shared" si="68"/>
        <v>Arching</v>
      </c>
      <c r="AI248" s="17" t="str">
        <f t="shared" si="16"/>
        <v>Arching</v>
      </c>
      <c r="AJ248" s="17" t="str">
        <f t="shared" si="7"/>
        <v>Thermal Decomposition,corona </v>
      </c>
    </row>
    <row r="249" ht="12.75" customHeight="1">
      <c r="A249" s="11">
        <v>247.0</v>
      </c>
      <c r="B249" s="13" t="s">
        <v>271</v>
      </c>
      <c r="C249" s="13" t="s">
        <v>186</v>
      </c>
      <c r="D249" s="13" t="s">
        <v>249</v>
      </c>
      <c r="E249" s="13" t="s">
        <v>106</v>
      </c>
      <c r="F249" s="13">
        <v>2004.0</v>
      </c>
      <c r="G249" s="14">
        <v>8.2</v>
      </c>
      <c r="H249" s="15">
        <v>12.709999999999999</v>
      </c>
      <c r="I249" s="15">
        <v>16340.385999999999</v>
      </c>
      <c r="J249" s="15">
        <v>62360.91799999999</v>
      </c>
      <c r="K249" s="15">
        <v>192.78199999999998</v>
      </c>
      <c r="L249" s="15">
        <v>2014.0839999999998</v>
      </c>
      <c r="M249" s="15">
        <v>6.97</v>
      </c>
      <c r="N249" s="15">
        <v>9.0</v>
      </c>
      <c r="O249" s="15">
        <v>13.365999999999998</v>
      </c>
      <c r="P249" s="15">
        <v>13.0</v>
      </c>
      <c r="Q249" s="17" t="str">
        <f t="shared" si="1"/>
        <v>0.9726170881</v>
      </c>
      <c r="R249" s="17" t="str">
        <f t="shared" si="2"/>
        <v>0.5483870968</v>
      </c>
      <c r="S249" s="17" t="str">
        <f t="shared" si="8"/>
        <v>1.485111111</v>
      </c>
      <c r="T249" s="17" t="str">
        <f t="shared" ref="T249:T251" si="220">IF(Q249&lt;1,"Partial discharge,Low Temprature thermal fault,")</f>
        <v>Partial discharge,Low Temprature thermal fault,</v>
      </c>
      <c r="U249" s="17" t="s">
        <v>31</v>
      </c>
      <c r="V249" s="17" t="s">
        <v>37</v>
      </c>
      <c r="W249" s="17" t="str">
        <f t="shared" si="3"/>
        <v>0.9726170881</v>
      </c>
      <c r="X249" s="17" t="str">
        <f t="shared" si="33"/>
        <v>0.5483870968</v>
      </c>
      <c r="Y249" s="17" t="str">
        <f t="shared" si="9"/>
        <v>1.485111111</v>
      </c>
      <c r="Z249" s="17" t="s">
        <v>34</v>
      </c>
      <c r="AA249" s="17" t="s">
        <v>34</v>
      </c>
      <c r="AB249" s="17" t="str">
        <f>IF(Y249&lt;0.2,"Partial Discharges, ",IF(Y249&gt;1,"Thermal  Fault  &gt;700 c"))</f>
        <v>Thermal  Fault  &gt;700 c</v>
      </c>
      <c r="AC249" s="17" t="str">
        <f t="shared" si="5"/>
        <v>0.5483870968</v>
      </c>
      <c r="AD249" s="18" t="str">
        <f t="shared" si="10"/>
        <v>0.9726170881</v>
      </c>
      <c r="AE249" s="17" t="str">
        <f t="shared" si="6"/>
        <v>1.865136298</v>
      </c>
      <c r="AF249" s="17" t="str">
        <f t="shared" si="11"/>
        <v>0.6923076923</v>
      </c>
      <c r="AG249" s="17" t="s">
        <v>30</v>
      </c>
      <c r="AH249" s="17" t="str">
        <f t="shared" si="68"/>
        <v>Arching</v>
      </c>
      <c r="AI249" s="17" t="str">
        <f t="shared" si="16"/>
        <v>Arching</v>
      </c>
      <c r="AJ249" s="17" t="str">
        <f t="shared" si="7"/>
        <v>Thermal Decomposition,corona </v>
      </c>
    </row>
    <row r="250" ht="12.75" customHeight="1">
      <c r="A250" s="11">
        <v>248.0</v>
      </c>
      <c r="B250" s="13" t="s">
        <v>272</v>
      </c>
      <c r="C250" s="13" t="s">
        <v>186</v>
      </c>
      <c r="D250" s="13" t="s">
        <v>249</v>
      </c>
      <c r="E250" s="13" t="s">
        <v>106</v>
      </c>
      <c r="F250" s="13">
        <v>2004.0</v>
      </c>
      <c r="G250" s="14">
        <v>7.8</v>
      </c>
      <c r="H250" s="15">
        <v>15.287999999999998</v>
      </c>
      <c r="I250" s="15">
        <v>14908.998</v>
      </c>
      <c r="J250" s="15">
        <v>60331.28400000001</v>
      </c>
      <c r="K250" s="15">
        <v>173.23799999999997</v>
      </c>
      <c r="L250" s="15">
        <v>1819.35</v>
      </c>
      <c r="M250" s="15">
        <v>7.722000000000001</v>
      </c>
      <c r="N250" s="15">
        <v>11.0</v>
      </c>
      <c r="O250" s="15">
        <v>5.85</v>
      </c>
      <c r="P250" s="15">
        <v>4.0</v>
      </c>
      <c r="Q250" s="17" t="str">
        <f t="shared" si="1"/>
        <v>0.6837606838</v>
      </c>
      <c r="R250" s="17" t="str">
        <f t="shared" si="2"/>
        <v>0.5051020408</v>
      </c>
      <c r="S250" s="17" t="str">
        <f t="shared" si="8"/>
        <v>0.5318181818</v>
      </c>
      <c r="T250" s="17" t="str">
        <f t="shared" si="220"/>
        <v>Partial discharge,Low Temprature thermal fault,</v>
      </c>
      <c r="U250" s="17" t="s">
        <v>31</v>
      </c>
      <c r="V250" s="17" t="str">
        <f t="shared" ref="V250:V261" si="221">IF(S250&lt;1,"Partial discharge, Normal ",IF(S250&gt;3,"Arching,Thermal  Fault &gt; 700 c"))</f>
        <v>Partial discharge, Normal </v>
      </c>
      <c r="W250" s="17" t="str">
        <f t="shared" si="3"/>
        <v>0.6837606838</v>
      </c>
      <c r="X250" s="17" t="str">
        <f t="shared" si="33"/>
        <v>0.5051020408</v>
      </c>
      <c r="Y250" s="17" t="str">
        <f t="shared" si="9"/>
        <v>0.5318181818</v>
      </c>
      <c r="Z250" s="17" t="s">
        <v>34</v>
      </c>
      <c r="AA250" s="17" t="s">
        <v>34</v>
      </c>
      <c r="AB250" s="17" t="s">
        <v>107</v>
      </c>
      <c r="AC250" s="17" t="str">
        <f t="shared" si="5"/>
        <v>0.5051020408</v>
      </c>
      <c r="AD250" s="18" t="str">
        <f t="shared" si="10"/>
        <v>0.6837606838</v>
      </c>
      <c r="AE250" s="17" t="str">
        <f t="shared" si="6"/>
        <v>0.518000518</v>
      </c>
      <c r="AF250" s="17" t="str">
        <f t="shared" si="11"/>
        <v>2.75</v>
      </c>
      <c r="AG250" s="17" t="s">
        <v>30</v>
      </c>
      <c r="AH250" s="17" t="str">
        <f t="shared" si="68"/>
        <v>Thermal Decomposition, </v>
      </c>
      <c r="AI250" s="17" t="str">
        <f t="shared" si="16"/>
        <v>Arching</v>
      </c>
      <c r="AJ250" s="17" t="str">
        <f t="shared" si="7"/>
        <v>Thermal Decomposition,corona </v>
      </c>
    </row>
    <row r="251" ht="12.75" customHeight="1">
      <c r="A251" s="11">
        <v>249.0</v>
      </c>
      <c r="B251" s="13" t="s">
        <v>273</v>
      </c>
      <c r="C251" s="13" t="s">
        <v>186</v>
      </c>
      <c r="D251" s="13" t="s">
        <v>249</v>
      </c>
      <c r="E251" s="13" t="s">
        <v>106</v>
      </c>
      <c r="F251" s="13">
        <v>2004.0</v>
      </c>
      <c r="G251" s="14">
        <v>8.3</v>
      </c>
      <c r="H251" s="15">
        <v>18.343000000000004</v>
      </c>
      <c r="I251" s="15">
        <v>17061.646</v>
      </c>
      <c r="J251" s="15">
        <v>62557.266</v>
      </c>
      <c r="K251" s="15">
        <v>182.76600000000002</v>
      </c>
      <c r="L251" s="15">
        <v>1989.0950000000003</v>
      </c>
      <c r="M251" s="15">
        <v>5.229</v>
      </c>
      <c r="N251" s="15">
        <v>16.0</v>
      </c>
      <c r="O251" s="15">
        <v>7.0</v>
      </c>
      <c r="P251" s="15">
        <v>6.0</v>
      </c>
      <c r="Q251" s="17" t="str">
        <f t="shared" si="1"/>
        <v>0.8571428571</v>
      </c>
      <c r="R251" s="17" t="str">
        <f t="shared" si="2"/>
        <v>0.2850678733</v>
      </c>
      <c r="S251" s="17" t="str">
        <f t="shared" si="8"/>
        <v>0.4375</v>
      </c>
      <c r="T251" s="17" t="str">
        <f t="shared" si="220"/>
        <v>Partial discharge,Low Temprature thermal fault,</v>
      </c>
      <c r="U251" s="17" t="s">
        <v>31</v>
      </c>
      <c r="V251" s="17" t="str">
        <f t="shared" si="221"/>
        <v>Partial discharge, Normal </v>
      </c>
      <c r="W251" s="17" t="str">
        <f t="shared" si="3"/>
        <v>0.8571428571</v>
      </c>
      <c r="X251" s="17" t="str">
        <f t="shared" si="33"/>
        <v>0.2850678733</v>
      </c>
      <c r="Y251" s="17" t="str">
        <f t="shared" si="9"/>
        <v>0.4375</v>
      </c>
      <c r="Z251" s="17" t="s">
        <v>34</v>
      </c>
      <c r="AA251" s="17" t="s">
        <v>34</v>
      </c>
      <c r="AB251" s="17" t="s">
        <v>107</v>
      </c>
      <c r="AC251" s="17" t="str">
        <f t="shared" si="5"/>
        <v>0.2850678733</v>
      </c>
      <c r="AD251" s="18" t="str">
        <f t="shared" si="10"/>
        <v>0.8571428571</v>
      </c>
      <c r="AE251" s="17" t="str">
        <f t="shared" si="6"/>
        <v>1.147446931</v>
      </c>
      <c r="AF251" s="17" t="str">
        <f t="shared" si="11"/>
        <v>2.666666667</v>
      </c>
      <c r="AG251" s="17" t="s">
        <v>30</v>
      </c>
      <c r="AH251" s="17" t="str">
        <f t="shared" si="68"/>
        <v>Arching</v>
      </c>
      <c r="AI251" s="17" t="str">
        <f t="shared" si="16"/>
        <v>Arching</v>
      </c>
      <c r="AJ251" s="17" t="str">
        <f t="shared" si="7"/>
        <v>Thermal Decomposition,corona </v>
      </c>
    </row>
    <row r="252" ht="12.75" customHeight="1">
      <c r="A252" s="11">
        <v>250.0</v>
      </c>
      <c r="B252" s="13" t="s">
        <v>274</v>
      </c>
      <c r="C252" s="13" t="s">
        <v>186</v>
      </c>
      <c r="D252" s="13" t="s">
        <v>249</v>
      </c>
      <c r="E252" s="13" t="s">
        <v>106</v>
      </c>
      <c r="F252" s="13">
        <v>2003.0</v>
      </c>
      <c r="G252" s="14">
        <v>8.2</v>
      </c>
      <c r="H252" s="15">
        <v>12.709999999999999</v>
      </c>
      <c r="I252" s="15">
        <v>14862.09</v>
      </c>
      <c r="J252" s="15">
        <v>65207.547999999995</v>
      </c>
      <c r="K252" s="15">
        <v>124.722</v>
      </c>
      <c r="L252" s="15">
        <v>1368.1699999999998</v>
      </c>
      <c r="M252" s="15">
        <v>5.084</v>
      </c>
      <c r="N252" s="15">
        <v>11.0</v>
      </c>
      <c r="O252" s="15">
        <v>7.0</v>
      </c>
      <c r="P252" s="15">
        <v>9.0</v>
      </c>
      <c r="Q252" s="17" t="str">
        <f t="shared" si="1"/>
        <v>1.285714286</v>
      </c>
      <c r="R252" s="17" t="str">
        <f t="shared" si="2"/>
        <v>0.4</v>
      </c>
      <c r="S252" s="17" t="str">
        <f t="shared" si="8"/>
        <v>0.6363636364</v>
      </c>
      <c r="T252" s="17" t="s">
        <v>30</v>
      </c>
      <c r="U252" s="17" t="s">
        <v>31</v>
      </c>
      <c r="V252" s="17" t="str">
        <f t="shared" si="221"/>
        <v>Partial discharge, Normal </v>
      </c>
      <c r="W252" s="17" t="str">
        <f t="shared" si="3"/>
        <v>1.285714286</v>
      </c>
      <c r="X252" s="17" t="str">
        <f t="shared" si="33"/>
        <v>0.4</v>
      </c>
      <c r="Y252" s="17" t="str">
        <f t="shared" si="9"/>
        <v>0.6363636364</v>
      </c>
      <c r="Z252" s="17" t="str">
        <f>IF(W252&gt;1,"Discharge of Low Energy,  ",IF(W252&lt;0.1,"Thermal  Fault&gt; 300c and&lt;700 c"))</f>
        <v>Discharge of Low Energy,  </v>
      </c>
      <c r="AA252" s="17" t="s">
        <v>34</v>
      </c>
      <c r="AB252" s="17" t="s">
        <v>107</v>
      </c>
      <c r="AC252" s="17" t="str">
        <f t="shared" si="5"/>
        <v>0.4</v>
      </c>
      <c r="AD252" s="18" t="str">
        <f t="shared" si="10"/>
        <v>1.285714286</v>
      </c>
      <c r="AE252" s="17" t="str">
        <f t="shared" si="6"/>
        <v>1.770259638</v>
      </c>
      <c r="AF252" s="17" t="str">
        <f t="shared" si="11"/>
        <v>1.222222222</v>
      </c>
      <c r="AG252" s="17" t="s">
        <v>30</v>
      </c>
      <c r="AH252" s="17" t="str">
        <f t="shared" si="68"/>
        <v>Arching</v>
      </c>
      <c r="AI252" s="17" t="str">
        <f t="shared" si="16"/>
        <v>Arching</v>
      </c>
      <c r="AJ252" s="17" t="str">
        <f t="shared" si="7"/>
        <v>Thermal Decomposition,corona </v>
      </c>
    </row>
    <row r="253" ht="12.75" customHeight="1">
      <c r="A253" s="11">
        <v>251.0</v>
      </c>
      <c r="B253" s="13" t="s">
        <v>275</v>
      </c>
      <c r="C253" s="13" t="s">
        <v>186</v>
      </c>
      <c r="D253" s="13" t="s">
        <v>249</v>
      </c>
      <c r="E253" s="13" t="s">
        <v>106</v>
      </c>
      <c r="F253" s="13">
        <v>2003.0</v>
      </c>
      <c r="G253" s="14">
        <v>8.3</v>
      </c>
      <c r="H253" s="15">
        <v>8.964</v>
      </c>
      <c r="I253" s="15">
        <v>15768.921</v>
      </c>
      <c r="J253" s="15">
        <v>64994.22899999999</v>
      </c>
      <c r="K253" s="15">
        <v>134.62600000000003</v>
      </c>
      <c r="L253" s="15">
        <v>1455.1560000000002</v>
      </c>
      <c r="M253" s="15">
        <v>5.478000000000001</v>
      </c>
      <c r="N253" s="15">
        <v>10.0</v>
      </c>
      <c r="O253" s="15">
        <v>9.0</v>
      </c>
      <c r="P253" s="15">
        <v>9.0</v>
      </c>
      <c r="Q253" s="17" t="str">
        <f t="shared" si="1"/>
        <v>1</v>
      </c>
      <c r="R253" s="17" t="str">
        <f t="shared" si="2"/>
        <v>0.6111111111</v>
      </c>
      <c r="S253" s="17" t="str">
        <f t="shared" si="8"/>
        <v>0.9</v>
      </c>
      <c r="T253" s="17" t="s">
        <v>30</v>
      </c>
      <c r="U253" s="17" t="s">
        <v>31</v>
      </c>
      <c r="V253" s="17" t="str">
        <f t="shared" si="221"/>
        <v>Partial discharge, Normal </v>
      </c>
      <c r="W253" s="17" t="str">
        <f t="shared" si="3"/>
        <v>1</v>
      </c>
      <c r="X253" s="17" t="str">
        <f t="shared" si="33"/>
        <v>0.6111111111</v>
      </c>
      <c r="Y253" s="17" t="str">
        <f t="shared" si="9"/>
        <v>0.9</v>
      </c>
      <c r="Z253" s="17" t="s">
        <v>34</v>
      </c>
      <c r="AA253" s="17" t="s">
        <v>34</v>
      </c>
      <c r="AB253" s="17" t="s">
        <v>107</v>
      </c>
      <c r="AC253" s="17" t="str">
        <f t="shared" si="5"/>
        <v>0.6111111111</v>
      </c>
      <c r="AD253" s="18" t="str">
        <f t="shared" si="10"/>
        <v>1</v>
      </c>
      <c r="AE253" s="17" t="str">
        <f t="shared" si="6"/>
        <v>1.642935378</v>
      </c>
      <c r="AF253" s="17" t="str">
        <f t="shared" si="11"/>
        <v>1.111111111</v>
      </c>
      <c r="AG253" s="17" t="s">
        <v>30</v>
      </c>
      <c r="AH253" s="17" t="str">
        <f t="shared" si="68"/>
        <v>Arching</v>
      </c>
      <c r="AI253" s="17" t="str">
        <f t="shared" si="16"/>
        <v>Arching</v>
      </c>
      <c r="AJ253" s="17" t="str">
        <f t="shared" si="7"/>
        <v>Thermal Decomposition,corona </v>
      </c>
    </row>
    <row r="254" ht="12.75" customHeight="1">
      <c r="A254" s="11">
        <v>252.0</v>
      </c>
      <c r="B254" s="13" t="s">
        <v>276</v>
      </c>
      <c r="C254" s="13" t="s">
        <v>186</v>
      </c>
      <c r="D254" s="13" t="s">
        <v>249</v>
      </c>
      <c r="E254" s="13" t="s">
        <v>130</v>
      </c>
      <c r="F254" s="13">
        <v>2012.0</v>
      </c>
      <c r="G254" s="14">
        <v>7.9</v>
      </c>
      <c r="H254" s="15">
        <v>18.96</v>
      </c>
      <c r="I254" s="15">
        <v>15941.726000000002</v>
      </c>
      <c r="J254" s="15">
        <v>60181.726</v>
      </c>
      <c r="K254" s="15">
        <v>155.077</v>
      </c>
      <c r="L254" s="15">
        <v>1703.3980000000004</v>
      </c>
      <c r="M254" s="15">
        <v>13.035000000000002</v>
      </c>
      <c r="N254" s="15">
        <v>2.6069999999999998</v>
      </c>
      <c r="O254" s="15">
        <v>16.116000000000003</v>
      </c>
      <c r="P254" s="15">
        <v>10.0</v>
      </c>
      <c r="Q254" s="17" t="str">
        <f t="shared" si="1"/>
        <v>0.6205013651</v>
      </c>
      <c r="R254" s="17" t="str">
        <f t="shared" si="2"/>
        <v>0.6875</v>
      </c>
      <c r="S254" s="17" t="str">
        <f t="shared" si="8"/>
        <v>6.181818182</v>
      </c>
      <c r="T254" s="17" t="str">
        <f t="shared" ref="T254:T255" si="222">IF(Q254&lt;1,"Partial discharge,Low Temprature thermal fault,")</f>
        <v>Partial discharge,Low Temprature thermal fault,</v>
      </c>
      <c r="U254" s="17" t="s">
        <v>31</v>
      </c>
      <c r="V254" s="17" t="str">
        <f t="shared" si="221"/>
        <v>Arching,Thermal  Fault &gt; 700 c</v>
      </c>
      <c r="W254" s="17" t="str">
        <f t="shared" si="3"/>
        <v>0.6205013651</v>
      </c>
      <c r="X254" s="17" t="str">
        <f t="shared" si="33"/>
        <v>0.6875</v>
      </c>
      <c r="Y254" s="17" t="str">
        <f t="shared" si="9"/>
        <v>6.181818182</v>
      </c>
      <c r="Z254" s="17" t="s">
        <v>34</v>
      </c>
      <c r="AA254" s="17" t="s">
        <v>34</v>
      </c>
      <c r="AB254" s="17" t="str">
        <f t="shared" ref="AB254:AB255" si="223">IF(Y254&lt;0.2,"Partial Discharges, ",IF(Y254&gt;1,"Thermal  Fault  &gt;700 c"))</f>
        <v>Thermal  Fault  &gt;700 c</v>
      </c>
      <c r="AC254" s="17" t="str">
        <f t="shared" si="5"/>
        <v>0.6875</v>
      </c>
      <c r="AD254" s="18" t="str">
        <f t="shared" si="10"/>
        <v>0.6205013651</v>
      </c>
      <c r="AE254" s="17" t="str">
        <f t="shared" si="6"/>
        <v>0.7671653241</v>
      </c>
      <c r="AF254" s="17" t="str">
        <f t="shared" si="11"/>
        <v>0.2607</v>
      </c>
      <c r="AG254" s="17" t="s">
        <v>30</v>
      </c>
      <c r="AH254" s="17" t="str">
        <f t="shared" si="68"/>
        <v>Thermal Decomposition, </v>
      </c>
      <c r="AI254" s="17" t="str">
        <f t="shared" si="16"/>
        <v>Arching</v>
      </c>
      <c r="AJ254" s="17" t="str">
        <f t="shared" si="7"/>
        <v>Arching</v>
      </c>
    </row>
    <row r="255" ht="12.75" customHeight="1">
      <c r="A255" s="11">
        <v>253.0</v>
      </c>
      <c r="B255" s="13" t="s">
        <v>277</v>
      </c>
      <c r="C255" s="13" t="s">
        <v>186</v>
      </c>
      <c r="D255" s="13" t="s">
        <v>249</v>
      </c>
      <c r="E255" s="13" t="s">
        <v>106</v>
      </c>
      <c r="F255" s="13">
        <v>2002.0</v>
      </c>
      <c r="G255" s="14">
        <v>8.2</v>
      </c>
      <c r="H255" s="15">
        <v>51.57799999999999</v>
      </c>
      <c r="I255" s="15">
        <v>17171.127999999997</v>
      </c>
      <c r="J255" s="15">
        <v>61503.44399999999</v>
      </c>
      <c r="K255" s="15">
        <v>216.152</v>
      </c>
      <c r="L255" s="15">
        <v>2265.8239999999996</v>
      </c>
      <c r="M255" s="15">
        <v>29.028</v>
      </c>
      <c r="N255" s="15">
        <v>23.369999999999997</v>
      </c>
      <c r="O255" s="15">
        <v>80.52399999999999</v>
      </c>
      <c r="P255" s="15">
        <v>23.944</v>
      </c>
      <c r="Q255" s="17" t="str">
        <f t="shared" si="1"/>
        <v>0.2973523422</v>
      </c>
      <c r="R255" s="17" t="str">
        <f t="shared" si="2"/>
        <v>0.5627980922</v>
      </c>
      <c r="S255" s="17" t="str">
        <f t="shared" si="8"/>
        <v>3.445614035</v>
      </c>
      <c r="T255" s="17" t="str">
        <f t="shared" si="222"/>
        <v>Partial discharge,Low Temprature thermal fault,</v>
      </c>
      <c r="U255" s="17" t="s">
        <v>31</v>
      </c>
      <c r="V255" s="17" t="str">
        <f t="shared" si="221"/>
        <v>Arching,Thermal  Fault &gt; 700 c</v>
      </c>
      <c r="W255" s="17" t="str">
        <f t="shared" si="3"/>
        <v>0.2973523422</v>
      </c>
      <c r="X255" s="17" t="str">
        <f t="shared" si="33"/>
        <v>0.5627980922</v>
      </c>
      <c r="Y255" s="17" t="str">
        <f t="shared" si="9"/>
        <v>3.445614035</v>
      </c>
      <c r="Z255" s="17" t="s">
        <v>278</v>
      </c>
      <c r="AA255" s="17" t="s">
        <v>34</v>
      </c>
      <c r="AB255" s="17" t="str">
        <f t="shared" si="223"/>
        <v>Thermal  Fault  &gt;700 c</v>
      </c>
      <c r="AC255" s="17" t="str">
        <f t="shared" si="5"/>
        <v>0.5627980922</v>
      </c>
      <c r="AD255" s="18" t="str">
        <f t="shared" si="10"/>
        <v>0.2973523422</v>
      </c>
      <c r="AE255" s="17" t="str">
        <f t="shared" si="6"/>
        <v>0.8248587571</v>
      </c>
      <c r="AF255" s="17" t="str">
        <f t="shared" si="11"/>
        <v>0.9760273973</v>
      </c>
      <c r="AG255" s="17" t="s">
        <v>30</v>
      </c>
      <c r="AH255" s="17" t="str">
        <f t="shared" si="68"/>
        <v>Thermal Decomposition, </v>
      </c>
      <c r="AI255" s="17" t="str">
        <f t="shared" si="16"/>
        <v>Arching</v>
      </c>
      <c r="AJ255" s="17" t="str">
        <f t="shared" si="7"/>
        <v>Thermal Decomposition,corona </v>
      </c>
    </row>
    <row r="256" ht="12.75" customHeight="1">
      <c r="A256" s="11">
        <v>254.0</v>
      </c>
      <c r="B256" s="13" t="s">
        <v>279</v>
      </c>
      <c r="C256" s="13" t="s">
        <v>186</v>
      </c>
      <c r="D256" s="13" t="s">
        <v>249</v>
      </c>
      <c r="E256" s="13" t="s">
        <v>106</v>
      </c>
      <c r="F256" s="13">
        <v>2006.0</v>
      </c>
      <c r="G256" s="14">
        <v>7.9</v>
      </c>
      <c r="H256" s="15">
        <v>4.582</v>
      </c>
      <c r="I256" s="15">
        <v>16498.992</v>
      </c>
      <c r="J256" s="15">
        <v>60398.976</v>
      </c>
      <c r="K256" s="15">
        <v>114.70800000000001</v>
      </c>
      <c r="L256" s="15">
        <v>1047.224</v>
      </c>
      <c r="M256" s="15">
        <v>0.9479999999999998</v>
      </c>
      <c r="N256" s="15">
        <v>10.0</v>
      </c>
      <c r="O256" s="15">
        <v>9.0</v>
      </c>
      <c r="P256" s="15">
        <v>9.0</v>
      </c>
      <c r="Q256" s="17" t="str">
        <f t="shared" si="1"/>
        <v>1</v>
      </c>
      <c r="R256" s="17" t="str">
        <f t="shared" si="2"/>
        <v>0.2068965517</v>
      </c>
      <c r="S256" s="17" t="str">
        <f t="shared" si="8"/>
        <v>0.9</v>
      </c>
      <c r="T256" s="17" t="s">
        <v>30</v>
      </c>
      <c r="U256" s="17" t="s">
        <v>31</v>
      </c>
      <c r="V256" s="17" t="str">
        <f t="shared" si="221"/>
        <v>Partial discharge, Normal </v>
      </c>
      <c r="W256" s="17" t="str">
        <f t="shared" si="3"/>
        <v>1</v>
      </c>
      <c r="X256" s="17" t="str">
        <f t="shared" si="33"/>
        <v>0.2068965517</v>
      </c>
      <c r="Y256" s="17" t="str">
        <f t="shared" si="9"/>
        <v>0.9</v>
      </c>
      <c r="Z256" s="17" t="s">
        <v>34</v>
      </c>
      <c r="AA256" s="17" t="s">
        <v>34</v>
      </c>
      <c r="AB256" s="17" t="s">
        <v>107</v>
      </c>
      <c r="AC256" s="17" t="str">
        <f t="shared" si="5"/>
        <v>0.2068965517</v>
      </c>
      <c r="AD256" s="18" t="str">
        <f t="shared" si="10"/>
        <v>1</v>
      </c>
      <c r="AE256" s="17" t="str">
        <f t="shared" si="6"/>
        <v>9.493670886</v>
      </c>
      <c r="AF256" s="17" t="str">
        <f t="shared" si="11"/>
        <v>1.111111111</v>
      </c>
      <c r="AG256" s="17" t="s">
        <v>30</v>
      </c>
      <c r="AH256" s="17" t="str">
        <f t="shared" si="68"/>
        <v>Arching</v>
      </c>
      <c r="AI256" s="17" t="str">
        <f t="shared" si="16"/>
        <v>Arching</v>
      </c>
      <c r="AJ256" s="17" t="str">
        <f t="shared" si="7"/>
        <v>Thermal Decomposition,corona </v>
      </c>
    </row>
    <row r="257" ht="12.75" customHeight="1">
      <c r="A257" s="11">
        <v>255.0</v>
      </c>
      <c r="B257" s="13" t="s">
        <v>280</v>
      </c>
      <c r="C257" s="13" t="s">
        <v>82</v>
      </c>
      <c r="D257" s="13" t="s">
        <v>249</v>
      </c>
      <c r="E257" s="13" t="s">
        <v>106</v>
      </c>
      <c r="F257" s="13">
        <v>2002.0</v>
      </c>
      <c r="G257" s="14">
        <v>8.0</v>
      </c>
      <c r="H257" s="15">
        <v>7.68</v>
      </c>
      <c r="I257" s="15">
        <v>16749.84</v>
      </c>
      <c r="J257" s="15">
        <v>60094.64000000001</v>
      </c>
      <c r="K257" s="15">
        <v>180.48</v>
      </c>
      <c r="L257" s="15">
        <v>1857.1200000000001</v>
      </c>
      <c r="M257" s="15">
        <v>4.4799999999999995</v>
      </c>
      <c r="N257" s="15">
        <v>11.0</v>
      </c>
      <c r="O257" s="15">
        <v>7.0</v>
      </c>
      <c r="P257" s="15">
        <v>6.0</v>
      </c>
      <c r="Q257" s="17" t="str">
        <f t="shared" si="1"/>
        <v>0.8571428571</v>
      </c>
      <c r="R257" s="17" t="str">
        <f t="shared" si="2"/>
        <v>0.5833333333</v>
      </c>
      <c r="S257" s="17" t="str">
        <f t="shared" si="8"/>
        <v>0.6363636364</v>
      </c>
      <c r="T257" s="17" t="str">
        <f t="shared" ref="T257:T260" si="224">IF(Q257&lt;1,"Partial discharge,Low Temprature thermal fault,")</f>
        <v>Partial discharge,Low Temprature thermal fault,</v>
      </c>
      <c r="U257" s="17" t="s">
        <v>31</v>
      </c>
      <c r="V257" s="17" t="str">
        <f t="shared" si="221"/>
        <v>Partial discharge, Normal </v>
      </c>
      <c r="W257" s="17" t="str">
        <f t="shared" si="3"/>
        <v>0.8571428571</v>
      </c>
      <c r="X257" s="17" t="str">
        <f t="shared" si="33"/>
        <v>0.5833333333</v>
      </c>
      <c r="Y257" s="17" t="str">
        <f t="shared" si="9"/>
        <v>0.6363636364</v>
      </c>
      <c r="Z257" s="17" t="s">
        <v>34</v>
      </c>
      <c r="AA257" s="17" t="s">
        <v>34</v>
      </c>
      <c r="AB257" s="17" t="s">
        <v>107</v>
      </c>
      <c r="AC257" s="17" t="str">
        <f t="shared" si="5"/>
        <v>0.5833333333</v>
      </c>
      <c r="AD257" s="18" t="str">
        <f t="shared" si="10"/>
        <v>0.8571428571</v>
      </c>
      <c r="AE257" s="17" t="str">
        <f t="shared" si="6"/>
        <v>1.339285714</v>
      </c>
      <c r="AF257" s="17" t="str">
        <f t="shared" si="11"/>
        <v>1.833333333</v>
      </c>
      <c r="AG257" s="17" t="s">
        <v>30</v>
      </c>
      <c r="AH257" s="17" t="str">
        <f t="shared" si="68"/>
        <v>Arching</v>
      </c>
      <c r="AI257" s="17" t="str">
        <f t="shared" si="16"/>
        <v>Arching</v>
      </c>
      <c r="AJ257" s="17" t="str">
        <f t="shared" si="7"/>
        <v>Thermal Decomposition,corona </v>
      </c>
    </row>
    <row r="258" ht="12.75" customHeight="1">
      <c r="A258" s="11">
        <v>256.0</v>
      </c>
      <c r="B258" s="26" t="s">
        <v>281</v>
      </c>
      <c r="C258" s="13" t="s">
        <v>186</v>
      </c>
      <c r="D258" s="13" t="s">
        <v>249</v>
      </c>
      <c r="E258" s="13" t="s">
        <v>106</v>
      </c>
      <c r="F258" s="13">
        <v>2000.0</v>
      </c>
      <c r="G258" s="14">
        <v>8.6</v>
      </c>
      <c r="H258" s="15">
        <v>69.14399999999999</v>
      </c>
      <c r="I258" s="15">
        <v>17299.845999999998</v>
      </c>
      <c r="J258" s="15">
        <v>65496.051999999996</v>
      </c>
      <c r="K258" s="15">
        <v>189.974</v>
      </c>
      <c r="L258" s="15">
        <v>2002.768</v>
      </c>
      <c r="M258" s="15">
        <v>68.11200000000001</v>
      </c>
      <c r="N258" s="15">
        <v>17.372</v>
      </c>
      <c r="O258" s="15">
        <v>139.664</v>
      </c>
      <c r="P258" s="15">
        <v>134.0</v>
      </c>
      <c r="Q258" s="17" t="str">
        <f t="shared" si="1"/>
        <v>0.9594455264</v>
      </c>
      <c r="R258" s="17" t="str">
        <f t="shared" si="2"/>
        <v>0.9850746269</v>
      </c>
      <c r="S258" s="17" t="str">
        <f t="shared" si="8"/>
        <v>8.03960396</v>
      </c>
      <c r="T258" s="17" t="str">
        <f t="shared" si="224"/>
        <v>Partial discharge,Low Temprature thermal fault,</v>
      </c>
      <c r="U258" s="17" t="s">
        <v>31</v>
      </c>
      <c r="V258" s="17" t="str">
        <f t="shared" si="221"/>
        <v>Arching,Thermal  Fault &gt; 700 c</v>
      </c>
      <c r="W258" s="17" t="str">
        <f t="shared" si="3"/>
        <v>0.9594455264</v>
      </c>
      <c r="X258" s="17" t="str">
        <f t="shared" si="33"/>
        <v>0.9850746269</v>
      </c>
      <c r="Y258" s="17" t="str">
        <f t="shared" si="9"/>
        <v>8.03960396</v>
      </c>
      <c r="Z258" s="17" t="s">
        <v>34</v>
      </c>
      <c r="AA258" s="17" t="s">
        <v>34</v>
      </c>
      <c r="AB258" s="17" t="str">
        <f>IF(Y258&lt;0.2,"Partial Discharges, ",IF(Y258&gt;1,"Thermal  Fault  &gt;700 c"))</f>
        <v>Thermal  Fault  &gt;700 c</v>
      </c>
      <c r="AC258" s="17" t="str">
        <f t="shared" si="5"/>
        <v>0.9850746269</v>
      </c>
      <c r="AD258" s="18" t="str">
        <f t="shared" si="10"/>
        <v>0.9594455264</v>
      </c>
      <c r="AE258" s="17" t="str">
        <f t="shared" si="6"/>
        <v>1.967347898</v>
      </c>
      <c r="AF258" s="17" t="str">
        <f t="shared" si="11"/>
        <v>0.129641791</v>
      </c>
      <c r="AG258" s="17" t="s">
        <v>30</v>
      </c>
      <c r="AH258" s="17" t="str">
        <f t="shared" si="68"/>
        <v>Arching</v>
      </c>
      <c r="AI258" s="17" t="str">
        <f t="shared" si="16"/>
        <v>Arching</v>
      </c>
      <c r="AJ258" s="17" t="str">
        <f t="shared" si="7"/>
        <v>Arching</v>
      </c>
    </row>
    <row r="259" ht="12.75" customHeight="1">
      <c r="A259" s="11">
        <v>257.0</v>
      </c>
      <c r="B259" s="26" t="s">
        <v>282</v>
      </c>
      <c r="C259" s="13" t="s">
        <v>186</v>
      </c>
      <c r="D259" s="13" t="s">
        <v>249</v>
      </c>
      <c r="E259" s="13" t="s">
        <v>106</v>
      </c>
      <c r="F259" s="13">
        <v>2002.0</v>
      </c>
      <c r="G259" s="14">
        <v>7.9</v>
      </c>
      <c r="H259" s="15">
        <v>7.8210000000000015</v>
      </c>
      <c r="I259" s="15">
        <v>16564.562</v>
      </c>
      <c r="J259" s="15">
        <v>59375.92600000001</v>
      </c>
      <c r="K259" s="15">
        <v>171.11399999999998</v>
      </c>
      <c r="L259" s="15">
        <v>1861.5559999999998</v>
      </c>
      <c r="M259" s="15">
        <v>1.8170000000000002</v>
      </c>
      <c r="N259" s="15">
        <v>12.0</v>
      </c>
      <c r="O259" s="15">
        <v>7.0</v>
      </c>
      <c r="P259" s="15">
        <v>4.0</v>
      </c>
      <c r="Q259" s="17" t="str">
        <f t="shared" si="1"/>
        <v>0.5714285714</v>
      </c>
      <c r="R259" s="17" t="str">
        <f t="shared" si="2"/>
        <v>0.2323232323</v>
      </c>
      <c r="S259" s="17" t="str">
        <f t="shared" si="8"/>
        <v>0.5833333333</v>
      </c>
      <c r="T259" s="17" t="str">
        <f t="shared" si="224"/>
        <v>Partial discharge,Low Temprature thermal fault,</v>
      </c>
      <c r="U259" s="17" t="s">
        <v>31</v>
      </c>
      <c r="V259" s="17" t="str">
        <f t="shared" si="221"/>
        <v>Partial discharge, Normal </v>
      </c>
      <c r="W259" s="17" t="str">
        <f t="shared" si="3"/>
        <v>0.5714285714</v>
      </c>
      <c r="X259" s="17" t="str">
        <f t="shared" si="33"/>
        <v>0.2323232323</v>
      </c>
      <c r="Y259" s="17" t="str">
        <f t="shared" si="9"/>
        <v>0.5833333333</v>
      </c>
      <c r="Z259" s="17" t="s">
        <v>34</v>
      </c>
      <c r="AA259" s="17" t="s">
        <v>34</v>
      </c>
      <c r="AB259" s="17" t="s">
        <v>107</v>
      </c>
      <c r="AC259" s="17" t="str">
        <f t="shared" si="5"/>
        <v>0.2323232323</v>
      </c>
      <c r="AD259" s="18" t="str">
        <f t="shared" si="10"/>
        <v>0.5714285714</v>
      </c>
      <c r="AE259" s="17" t="str">
        <f t="shared" si="6"/>
        <v>2.20143093</v>
      </c>
      <c r="AF259" s="17" t="str">
        <f t="shared" si="11"/>
        <v>3</v>
      </c>
      <c r="AG259" s="17" t="s">
        <v>30</v>
      </c>
      <c r="AH259" s="17" t="str">
        <f t="shared" si="68"/>
        <v>Thermal Decomposition, </v>
      </c>
      <c r="AI259" s="17" t="str">
        <f t="shared" si="16"/>
        <v>Arching</v>
      </c>
      <c r="AJ259" s="17" t="str">
        <f t="shared" si="7"/>
        <v>Thermal Decomposition,corona </v>
      </c>
    </row>
    <row r="260" ht="12.75" customHeight="1">
      <c r="A260" s="11">
        <v>258.0</v>
      </c>
      <c r="B260" s="26" t="s">
        <v>283</v>
      </c>
      <c r="C260" s="13" t="s">
        <v>186</v>
      </c>
      <c r="D260" s="13" t="s">
        <v>249</v>
      </c>
      <c r="E260" s="13" t="s">
        <v>130</v>
      </c>
      <c r="F260" s="13">
        <v>2017.0</v>
      </c>
      <c r="G260" s="27">
        <v>8.2</v>
      </c>
      <c r="H260" s="15">
        <v>9.921999999999999</v>
      </c>
      <c r="I260" s="15">
        <v>16286.675999999998</v>
      </c>
      <c r="J260" s="15">
        <v>63258.162</v>
      </c>
      <c r="K260" s="15">
        <v>143.82799999999997</v>
      </c>
      <c r="L260" s="15">
        <v>1555.4579999999999</v>
      </c>
      <c r="M260" s="15">
        <v>7.0</v>
      </c>
      <c r="N260" s="15">
        <v>16.0</v>
      </c>
      <c r="O260" s="15">
        <v>9.0</v>
      </c>
      <c r="P260" s="15">
        <v>5.0</v>
      </c>
      <c r="Q260" s="17" t="str">
        <f t="shared" si="1"/>
        <v>0.5555555556</v>
      </c>
      <c r="R260" s="17" t="str">
        <f t="shared" si="2"/>
        <v>0.7055029228</v>
      </c>
      <c r="S260" s="17" t="str">
        <f t="shared" si="8"/>
        <v>0.5625</v>
      </c>
      <c r="T260" s="17" t="str">
        <f t="shared" si="224"/>
        <v>Partial discharge,Low Temprature thermal fault,</v>
      </c>
      <c r="U260" s="17" t="str">
        <f>IF(R260&lt;0.1, "Partial discharge", "Low temperature thermal ")</f>
        <v>Low temperature thermal </v>
      </c>
      <c r="V260" s="17" t="str">
        <f t="shared" si="221"/>
        <v>Partial discharge, Normal </v>
      </c>
      <c r="W260" s="17" t="str">
        <f t="shared" si="3"/>
        <v>0.5555555556</v>
      </c>
      <c r="X260" s="17" t="str">
        <f t="shared" si="33"/>
        <v>0.7055029228</v>
      </c>
      <c r="Y260" s="17" t="str">
        <f t="shared" si="9"/>
        <v>0.5625</v>
      </c>
      <c r="Z260" s="17" t="s">
        <v>34</v>
      </c>
      <c r="AA260" s="17" t="s">
        <v>34</v>
      </c>
      <c r="AB260" s="17" t="s">
        <v>107</v>
      </c>
      <c r="AC260" s="17" t="str">
        <f t="shared" si="5"/>
        <v>0.7055029228</v>
      </c>
      <c r="AD260" s="18" t="str">
        <f t="shared" si="10"/>
        <v>0.5555555556</v>
      </c>
      <c r="AE260" s="17" t="str">
        <f t="shared" si="6"/>
        <v>0.7142857143</v>
      </c>
      <c r="AF260" s="17" t="str">
        <f t="shared" si="11"/>
        <v>3.2</v>
      </c>
      <c r="AG260" s="17" t="s">
        <v>30</v>
      </c>
      <c r="AH260" s="17" t="str">
        <f t="shared" si="68"/>
        <v>Thermal Decomposition, </v>
      </c>
      <c r="AI260" s="17" t="str">
        <f t="shared" si="16"/>
        <v>Arching</v>
      </c>
      <c r="AJ260" s="17" t="str">
        <f t="shared" si="7"/>
        <v>Thermal Decomposition,corona </v>
      </c>
    </row>
    <row r="261" ht="12.75" customHeight="1">
      <c r="A261" s="11">
        <v>259.0</v>
      </c>
      <c r="B261" s="26" t="s">
        <v>284</v>
      </c>
      <c r="C261" s="13" t="s">
        <v>78</v>
      </c>
      <c r="D261" s="13" t="s">
        <v>249</v>
      </c>
      <c r="E261" s="13" t="s">
        <v>130</v>
      </c>
      <c r="F261" s="13">
        <v>2018.0</v>
      </c>
      <c r="G261" s="14">
        <v>8.2</v>
      </c>
      <c r="H261" s="15">
        <v>7.297999999999999</v>
      </c>
      <c r="I261" s="15">
        <v>16580.564</v>
      </c>
      <c r="J261" s="15">
        <v>63504.49</v>
      </c>
      <c r="K261" s="15">
        <v>116.52199999999999</v>
      </c>
      <c r="L261" s="15">
        <v>1281.8239999999998</v>
      </c>
      <c r="M261" s="15">
        <v>3.6899999999999995</v>
      </c>
      <c r="N261" s="15">
        <v>9.0</v>
      </c>
      <c r="O261" s="15">
        <v>7.0</v>
      </c>
      <c r="P261" s="15">
        <v>7.0</v>
      </c>
      <c r="Q261" s="17" t="str">
        <f t="shared" si="1"/>
        <v>1</v>
      </c>
      <c r="R261" s="17" t="str">
        <f t="shared" si="2"/>
        <v>0.5056179775</v>
      </c>
      <c r="S261" s="17" t="str">
        <f t="shared" si="8"/>
        <v>0.7777777778</v>
      </c>
      <c r="T261" s="17" t="s">
        <v>30</v>
      </c>
      <c r="U261" s="17" t="s">
        <v>31</v>
      </c>
      <c r="V261" s="17" t="str">
        <f t="shared" si="221"/>
        <v>Partial discharge, Normal </v>
      </c>
      <c r="W261" s="17" t="str">
        <f t="shared" si="3"/>
        <v>1</v>
      </c>
      <c r="X261" s="17" t="str">
        <f t="shared" si="33"/>
        <v>0.5056179775</v>
      </c>
      <c r="Y261" s="17" t="str">
        <f t="shared" si="9"/>
        <v>0.7777777778</v>
      </c>
      <c r="Z261" s="17" t="s">
        <v>34</v>
      </c>
      <c r="AA261" s="17" t="s">
        <v>34</v>
      </c>
      <c r="AB261" s="17" t="s">
        <v>107</v>
      </c>
      <c r="AC261" s="17" t="str">
        <f t="shared" si="5"/>
        <v>0.5056179775</v>
      </c>
      <c r="AD261" s="18" t="str">
        <f t="shared" si="10"/>
        <v>1</v>
      </c>
      <c r="AE261" s="17" t="str">
        <f t="shared" si="6"/>
        <v>1.89701897</v>
      </c>
      <c r="AF261" s="17" t="str">
        <f t="shared" si="11"/>
        <v>1.285714286</v>
      </c>
      <c r="AG261" s="17" t="s">
        <v>30</v>
      </c>
      <c r="AH261" s="17" t="str">
        <f t="shared" si="68"/>
        <v>Arching</v>
      </c>
      <c r="AI261" s="17" t="str">
        <f t="shared" si="16"/>
        <v>Arching</v>
      </c>
      <c r="AJ261" s="17" t="str">
        <f t="shared" si="7"/>
        <v>Thermal Decomposition,corona </v>
      </c>
    </row>
    <row r="262" ht="12.75" customHeight="1">
      <c r="A262" s="11">
        <v>260.0</v>
      </c>
      <c r="B262" s="26" t="s">
        <v>285</v>
      </c>
      <c r="C262" s="13" t="s">
        <v>78</v>
      </c>
      <c r="D262" s="13" t="s">
        <v>249</v>
      </c>
      <c r="E262" s="13" t="s">
        <v>130</v>
      </c>
      <c r="F262" s="13">
        <v>2018.0</v>
      </c>
      <c r="G262" s="14">
        <v>7.9</v>
      </c>
      <c r="H262" s="15">
        <v>7.583999999999999</v>
      </c>
      <c r="I262" s="15">
        <v>15543.882</v>
      </c>
      <c r="J262" s="15">
        <v>61315.45500000001</v>
      </c>
      <c r="K262" s="15">
        <v>135.959</v>
      </c>
      <c r="L262" s="15">
        <v>1447.6750000000002</v>
      </c>
      <c r="M262" s="15">
        <v>5.4510000000000005</v>
      </c>
      <c r="N262" s="15">
        <v>7.0</v>
      </c>
      <c r="O262" s="15">
        <v>9.0</v>
      </c>
      <c r="P262" s="15">
        <v>9.0</v>
      </c>
      <c r="Q262" s="17" t="str">
        <f t="shared" si="1"/>
        <v>1</v>
      </c>
      <c r="R262" s="17" t="str">
        <f t="shared" si="2"/>
        <v>0.71875</v>
      </c>
      <c r="S262" s="17" t="str">
        <f t="shared" si="8"/>
        <v>1.285714286</v>
      </c>
      <c r="T262" s="17" t="s">
        <v>30</v>
      </c>
      <c r="U262" s="17" t="s">
        <v>31</v>
      </c>
      <c r="V262" s="17" t="s">
        <v>37</v>
      </c>
      <c r="W262" s="17" t="str">
        <f t="shared" si="3"/>
        <v>1</v>
      </c>
      <c r="X262" s="17" t="str">
        <f t="shared" si="33"/>
        <v>0.71875</v>
      </c>
      <c r="Y262" s="17" t="str">
        <f t="shared" si="9"/>
        <v>1.285714286</v>
      </c>
      <c r="Z262" s="17" t="s">
        <v>34</v>
      </c>
      <c r="AA262" s="17" t="s">
        <v>34</v>
      </c>
      <c r="AB262" s="17" t="str">
        <f>IF(Y262&lt;0.2,"Partial Discharges, ",IF(Y262&gt;1,"Thermal  Fault  &gt;700 c"))</f>
        <v>Thermal  Fault  &gt;700 c</v>
      </c>
      <c r="AC262" s="17" t="str">
        <f t="shared" si="5"/>
        <v>0.71875</v>
      </c>
      <c r="AD262" s="18" t="str">
        <f t="shared" si="10"/>
        <v>1</v>
      </c>
      <c r="AE262" s="17" t="str">
        <f t="shared" si="6"/>
        <v>1.651073198</v>
      </c>
      <c r="AF262" s="17" t="str">
        <f t="shared" si="11"/>
        <v>0.7777777778</v>
      </c>
      <c r="AG262" s="17" t="s">
        <v>30</v>
      </c>
      <c r="AH262" s="17" t="str">
        <f t="shared" si="68"/>
        <v>Arching</v>
      </c>
      <c r="AI262" s="17" t="str">
        <f t="shared" si="16"/>
        <v>Arching</v>
      </c>
      <c r="AJ262" s="17" t="str">
        <f t="shared" si="7"/>
        <v>Thermal Decomposition,corona </v>
      </c>
    </row>
    <row r="263" ht="12.75" customHeight="1">
      <c r="A263" s="11">
        <v>261.0</v>
      </c>
      <c r="B263" s="26" t="s">
        <v>286</v>
      </c>
      <c r="C263" s="13" t="s">
        <v>186</v>
      </c>
      <c r="D263" s="13" t="s">
        <v>249</v>
      </c>
      <c r="E263" s="13" t="s">
        <v>106</v>
      </c>
      <c r="F263" s="13">
        <v>2004.0</v>
      </c>
      <c r="G263" s="14">
        <v>8.4</v>
      </c>
      <c r="H263" s="15">
        <v>9.24</v>
      </c>
      <c r="I263" s="15">
        <v>16947.84</v>
      </c>
      <c r="J263" s="15">
        <v>64113.084</v>
      </c>
      <c r="K263" s="15">
        <v>156.49200000000002</v>
      </c>
      <c r="L263" s="15">
        <v>1676.892</v>
      </c>
      <c r="M263" s="15">
        <v>3.276</v>
      </c>
      <c r="N263" s="15">
        <v>6.0</v>
      </c>
      <c r="O263" s="15">
        <v>5.0</v>
      </c>
      <c r="P263" s="15">
        <v>8.0</v>
      </c>
      <c r="Q263" s="17" t="str">
        <f t="shared" si="1"/>
        <v>1.6</v>
      </c>
      <c r="R263" s="17" t="str">
        <f t="shared" si="2"/>
        <v>0.3545454545</v>
      </c>
      <c r="S263" s="17" t="str">
        <f t="shared" si="8"/>
        <v>0.8333333333</v>
      </c>
      <c r="T263" s="17" t="s">
        <v>30</v>
      </c>
      <c r="U263" s="17" t="s">
        <v>31</v>
      </c>
      <c r="V263" s="17" t="str">
        <f>IF(S263&lt;1,"Partial discharge, Normal ",IF(S263&gt;3,"Arching,Thermal  Fault &gt; 700 c"))</f>
        <v>Partial discharge, Normal </v>
      </c>
      <c r="W263" s="17" t="str">
        <f t="shared" si="3"/>
        <v>1.6</v>
      </c>
      <c r="X263" s="17" t="str">
        <f t="shared" si="33"/>
        <v>0.3545454545</v>
      </c>
      <c r="Y263" s="17" t="str">
        <f t="shared" si="9"/>
        <v>0.8333333333</v>
      </c>
      <c r="Z263" s="17" t="str">
        <f>IF(W263&gt;1,"Discharge of Low Energy,  ",IF(W263&lt;0.1,"Thermal  Fault&gt; 300c and&lt;700 c"))</f>
        <v>Discharge of Low Energy,  </v>
      </c>
      <c r="AA263" s="17" t="s">
        <v>34</v>
      </c>
      <c r="AB263" s="17" t="s">
        <v>107</v>
      </c>
      <c r="AC263" s="17" t="str">
        <f t="shared" si="5"/>
        <v>0.3545454545</v>
      </c>
      <c r="AD263" s="18" t="str">
        <f t="shared" si="10"/>
        <v>1.6</v>
      </c>
      <c r="AE263" s="17" t="str">
        <f t="shared" si="6"/>
        <v>2.442002442</v>
      </c>
      <c r="AF263" s="17" t="str">
        <f t="shared" si="11"/>
        <v>0.75</v>
      </c>
      <c r="AG263" s="17" t="s">
        <v>30</v>
      </c>
      <c r="AH263" s="17" t="str">
        <f t="shared" si="68"/>
        <v>Arching</v>
      </c>
      <c r="AI263" s="17" t="str">
        <f t="shared" si="16"/>
        <v>Arching</v>
      </c>
      <c r="AJ263" s="17" t="str">
        <f t="shared" si="7"/>
        <v>Thermal Decomposition,corona </v>
      </c>
    </row>
    <row r="264" ht="12.75" customHeight="1">
      <c r="A264" s="11">
        <v>262.0</v>
      </c>
      <c r="B264" s="26" t="s">
        <v>287</v>
      </c>
      <c r="C264" s="13" t="s">
        <v>186</v>
      </c>
      <c r="D264" s="13" t="s">
        <v>249</v>
      </c>
      <c r="E264" s="13" t="s">
        <v>106</v>
      </c>
      <c r="F264" s="13">
        <v>2004.0</v>
      </c>
      <c r="G264" s="14">
        <v>8.3</v>
      </c>
      <c r="H264" s="15">
        <v>13.529</v>
      </c>
      <c r="I264" s="15">
        <v>16746.08</v>
      </c>
      <c r="J264" s="15">
        <v>63331.075</v>
      </c>
      <c r="K264" s="15">
        <v>170.565</v>
      </c>
      <c r="L264" s="15">
        <v>1760.7620000000002</v>
      </c>
      <c r="M264" s="15">
        <v>5.063000000000001</v>
      </c>
      <c r="N264" s="15">
        <v>4.0</v>
      </c>
      <c r="O264" s="15">
        <v>9.0</v>
      </c>
      <c r="P264" s="15">
        <v>7.0</v>
      </c>
      <c r="Q264" s="17" t="str">
        <f t="shared" si="1"/>
        <v>0.7777777778</v>
      </c>
      <c r="R264" s="17" t="str">
        <f t="shared" si="2"/>
        <v>0.3742331288</v>
      </c>
      <c r="S264" s="17" t="str">
        <f t="shared" si="8"/>
        <v>2.25</v>
      </c>
      <c r="T264" s="17" t="str">
        <f>IF(Q264&lt;1,"Partial discharge,Low Temprature thermal fault,")</f>
        <v>Partial discharge,Low Temprature thermal fault,</v>
      </c>
      <c r="U264" s="17" t="s">
        <v>31</v>
      </c>
      <c r="V264" s="17" t="s">
        <v>37</v>
      </c>
      <c r="W264" s="17" t="str">
        <f t="shared" si="3"/>
        <v>0.7777777778</v>
      </c>
      <c r="X264" s="17" t="str">
        <f t="shared" si="33"/>
        <v>0.3742331288</v>
      </c>
      <c r="Y264" s="17" t="str">
        <f t="shared" si="9"/>
        <v>2.25</v>
      </c>
      <c r="Z264" s="17" t="s">
        <v>34</v>
      </c>
      <c r="AA264" s="17" t="s">
        <v>34</v>
      </c>
      <c r="AB264" s="17" t="str">
        <f t="shared" ref="AB264:AB265" si="225">IF(Y264&lt;0.2,"Partial Discharges, ",IF(Y264&gt;1,"Thermal  Fault  &gt;700 c"))</f>
        <v>Thermal  Fault  &gt;700 c</v>
      </c>
      <c r="AC264" s="17" t="str">
        <f t="shared" si="5"/>
        <v>0.3742331288</v>
      </c>
      <c r="AD264" s="18" t="str">
        <f t="shared" si="10"/>
        <v>0.7777777778</v>
      </c>
      <c r="AE264" s="17" t="str">
        <f t="shared" si="6"/>
        <v>1.382579498</v>
      </c>
      <c r="AF264" s="17" t="str">
        <f t="shared" si="11"/>
        <v>0.5714285714</v>
      </c>
      <c r="AG264" s="17" t="s">
        <v>30</v>
      </c>
      <c r="AH264" s="17" t="str">
        <f t="shared" si="68"/>
        <v>Arching</v>
      </c>
      <c r="AI264" s="17" t="str">
        <f t="shared" si="16"/>
        <v>Arching</v>
      </c>
      <c r="AJ264" s="17" t="str">
        <f t="shared" si="7"/>
        <v>Thermal Decomposition,corona </v>
      </c>
    </row>
    <row r="265" ht="12.75" customHeight="1">
      <c r="A265" s="11">
        <v>263.0</v>
      </c>
      <c r="B265" s="26" t="s">
        <v>288</v>
      </c>
      <c r="C265" s="13" t="s">
        <v>186</v>
      </c>
      <c r="D265" s="13" t="s">
        <v>249</v>
      </c>
      <c r="E265" s="13" t="s">
        <v>106</v>
      </c>
      <c r="F265" s="13">
        <v>2004.0</v>
      </c>
      <c r="G265" s="14">
        <v>8.3</v>
      </c>
      <c r="H265" s="15">
        <v>6.474</v>
      </c>
      <c r="I265" s="15">
        <v>16746.08</v>
      </c>
      <c r="J265" s="15">
        <v>63546.792</v>
      </c>
      <c r="K265" s="15">
        <v>185.25600000000003</v>
      </c>
      <c r="L265" s="15">
        <v>1961.4560000000001</v>
      </c>
      <c r="M265" s="15">
        <v>9.213000000000001</v>
      </c>
      <c r="N265" s="15">
        <v>5.727</v>
      </c>
      <c r="O265" s="15">
        <v>21.082</v>
      </c>
      <c r="P265" s="15">
        <v>23.0</v>
      </c>
      <c r="Q265" s="17" t="str">
        <f t="shared" si="1"/>
        <v>1.090978086</v>
      </c>
      <c r="R265" s="17" t="str">
        <f t="shared" si="2"/>
        <v>1.423076923</v>
      </c>
      <c r="S265" s="17" t="str">
        <f t="shared" si="8"/>
        <v>3.68115942</v>
      </c>
      <c r="T265" s="17" t="s">
        <v>30</v>
      </c>
      <c r="U265" s="17" t="str">
        <f>IF(R265&gt;1,"Thermal Fault &lt;700c, thermal fault &gt;700c ")</f>
        <v>Thermal Fault &lt;700c, thermal fault &gt;700c </v>
      </c>
      <c r="V265" s="17" t="str">
        <f t="shared" ref="V265:V272" si="226">IF(S265&lt;1,"Partial discharge, Normal ",IF(S265&gt;3,"Arching,Thermal  Fault &gt; 700 c"))</f>
        <v>Arching,Thermal  Fault &gt; 700 c</v>
      </c>
      <c r="W265" s="17" t="str">
        <f t="shared" si="3"/>
        <v>1.090978086</v>
      </c>
      <c r="X265" s="17" t="str">
        <f t="shared" si="33"/>
        <v>1.423076923</v>
      </c>
      <c r="Y265" s="17" t="str">
        <f t="shared" si="9"/>
        <v>3.68115942</v>
      </c>
      <c r="Z265" s="17" t="str">
        <f>IF(W265&gt;1,"Discharge of Low Energy,  ",IF(W265&lt;0.1,"Thermal  Fault&gt; 300c and&lt;700 c"))</f>
        <v>Discharge of Low Energy,  </v>
      </c>
      <c r="AA265" s="17" t="str">
        <f>IF(X265&lt;0.1,"Partial Discharges, ",IF(X265&gt;1,"Thermal  Fault &gt;300c and&lt;700 and &gt;700 c"))</f>
        <v>Thermal  Fault &gt;300c and&lt;700 and &gt;700 c</v>
      </c>
      <c r="AB265" s="17" t="str">
        <f t="shared" si="225"/>
        <v>Thermal  Fault  &gt;700 c</v>
      </c>
      <c r="AC265" s="17" t="str">
        <f t="shared" si="5"/>
        <v>1.423076923</v>
      </c>
      <c r="AD265" s="18" t="str">
        <f t="shared" si="10"/>
        <v>1.090978086</v>
      </c>
      <c r="AE265" s="17" t="str">
        <f t="shared" si="6"/>
        <v>2.496472376</v>
      </c>
      <c r="AF265" s="17" t="str">
        <f t="shared" si="11"/>
        <v>0.249</v>
      </c>
      <c r="AG265" s="17" t="str">
        <f>IF(AC265&gt;1,"Thermal Decomposition, ",IF(AC265&lt;0.1,"Corona,Arching"))</f>
        <v>Thermal Decomposition, </v>
      </c>
      <c r="AH265" s="17" t="str">
        <f t="shared" si="68"/>
        <v>Arching</v>
      </c>
      <c r="AI265" s="17" t="str">
        <f t="shared" si="16"/>
        <v>Arching</v>
      </c>
      <c r="AJ265" s="17" t="str">
        <f t="shared" si="7"/>
        <v>Arching</v>
      </c>
    </row>
    <row r="266" ht="12.75" customHeight="1">
      <c r="A266" s="11">
        <v>264.0</v>
      </c>
      <c r="B266" s="26" t="s">
        <v>289</v>
      </c>
      <c r="C266" s="13" t="s">
        <v>186</v>
      </c>
      <c r="D266" s="13" t="s">
        <v>249</v>
      </c>
      <c r="E266" s="13" t="s">
        <v>106</v>
      </c>
      <c r="F266" s="13">
        <v>2004.0</v>
      </c>
      <c r="G266" s="14">
        <v>7.9</v>
      </c>
      <c r="H266" s="15">
        <v>8.295000000000002</v>
      </c>
      <c r="I266" s="15">
        <v>15939.04</v>
      </c>
      <c r="J266" s="15">
        <v>60217.908</v>
      </c>
      <c r="K266" s="15">
        <v>162.977</v>
      </c>
      <c r="L266" s="15">
        <v>1706.0840000000003</v>
      </c>
      <c r="M266" s="15">
        <v>4.424</v>
      </c>
      <c r="N266" s="15">
        <v>8.0</v>
      </c>
      <c r="O266" s="15">
        <v>7.0</v>
      </c>
      <c r="P266" s="15">
        <v>3.0</v>
      </c>
      <c r="Q266" s="17" t="str">
        <f t="shared" si="1"/>
        <v>0.4285714286</v>
      </c>
      <c r="R266" s="17" t="str">
        <f t="shared" si="2"/>
        <v>0.5333333333</v>
      </c>
      <c r="S266" s="17" t="str">
        <f t="shared" si="8"/>
        <v>0.875</v>
      </c>
      <c r="T266" s="17" t="str">
        <f>IF(Q266&lt;1,"Partial discharge,Low Temprature thermal fault,")</f>
        <v>Partial discharge,Low Temprature thermal fault,</v>
      </c>
      <c r="U266" s="17" t="s">
        <v>31</v>
      </c>
      <c r="V266" s="17" t="str">
        <f t="shared" si="226"/>
        <v>Partial discharge, Normal </v>
      </c>
      <c r="W266" s="17" t="str">
        <f t="shared" si="3"/>
        <v>0.4285714286</v>
      </c>
      <c r="X266" s="17" t="str">
        <f t="shared" si="33"/>
        <v>0.5333333333</v>
      </c>
      <c r="Y266" s="17" t="str">
        <f t="shared" si="9"/>
        <v>0.875</v>
      </c>
      <c r="Z266" s="17" t="s">
        <v>34</v>
      </c>
      <c r="AA266" s="17" t="s">
        <v>34</v>
      </c>
      <c r="AB266" s="17" t="s">
        <v>107</v>
      </c>
      <c r="AC266" s="17" t="str">
        <f t="shared" si="5"/>
        <v>0.5333333333</v>
      </c>
      <c r="AD266" s="18" t="str">
        <f t="shared" si="10"/>
        <v>0.4285714286</v>
      </c>
      <c r="AE266" s="17" t="str">
        <f t="shared" si="6"/>
        <v>0.678119349</v>
      </c>
      <c r="AF266" s="17" t="str">
        <f t="shared" si="11"/>
        <v>2.666666667</v>
      </c>
      <c r="AG266" s="17" t="s">
        <v>30</v>
      </c>
      <c r="AH266" s="17" t="str">
        <f t="shared" si="68"/>
        <v>Thermal Decomposition, </v>
      </c>
      <c r="AI266" s="17" t="str">
        <f t="shared" si="16"/>
        <v>Arching</v>
      </c>
      <c r="AJ266" s="17" t="str">
        <f t="shared" si="7"/>
        <v>Thermal Decomposition,corona </v>
      </c>
    </row>
    <row r="267" ht="12.75" customHeight="1">
      <c r="A267" s="11">
        <v>265.0</v>
      </c>
      <c r="B267" s="26" t="s">
        <v>290</v>
      </c>
      <c r="C267" s="13" t="s">
        <v>186</v>
      </c>
      <c r="D267" s="13" t="s">
        <v>249</v>
      </c>
      <c r="E267" s="13" t="s">
        <v>106</v>
      </c>
      <c r="F267" s="13">
        <v>2001.0</v>
      </c>
      <c r="G267" s="14">
        <v>8.3</v>
      </c>
      <c r="H267" s="15">
        <v>7.968</v>
      </c>
      <c r="I267" s="15">
        <v>16746.08</v>
      </c>
      <c r="J267" s="15">
        <v>63203.00600000001</v>
      </c>
      <c r="K267" s="15">
        <v>192.89200000000002</v>
      </c>
      <c r="L267" s="15">
        <v>2039.144</v>
      </c>
      <c r="M267" s="15">
        <v>5.229</v>
      </c>
      <c r="N267" s="15">
        <v>9.0</v>
      </c>
      <c r="O267" s="15">
        <v>8.0</v>
      </c>
      <c r="P267" s="15">
        <v>21.0</v>
      </c>
      <c r="Q267" s="17" t="str">
        <f t="shared" si="1"/>
        <v>2.625</v>
      </c>
      <c r="R267" s="17" t="str">
        <f t="shared" si="2"/>
        <v>0.65625</v>
      </c>
      <c r="S267" s="17" t="str">
        <f t="shared" si="8"/>
        <v>0.8888888889</v>
      </c>
      <c r="T267" s="17" t="s">
        <v>30</v>
      </c>
      <c r="U267" s="17" t="s">
        <v>31</v>
      </c>
      <c r="V267" s="17" t="str">
        <f t="shared" si="226"/>
        <v>Partial discharge, Normal </v>
      </c>
      <c r="W267" s="17" t="str">
        <f t="shared" si="3"/>
        <v>2.625</v>
      </c>
      <c r="X267" s="17" t="str">
        <f t="shared" si="33"/>
        <v>0.65625</v>
      </c>
      <c r="Y267" s="17" t="str">
        <f t="shared" si="9"/>
        <v>0.8888888889</v>
      </c>
      <c r="Z267" s="17" t="str">
        <f>IF(W267&gt;1,"Discharge of Low Energy,  ",IF(W267&lt;0.1,"Thermal  Fault&gt; 300c and&lt;700 c"))</f>
        <v>Discharge of Low Energy,  </v>
      </c>
      <c r="AA267" s="17" t="s">
        <v>34</v>
      </c>
      <c r="AB267" s="17" t="s">
        <v>107</v>
      </c>
      <c r="AC267" s="17" t="str">
        <f t="shared" si="5"/>
        <v>0.65625</v>
      </c>
      <c r="AD267" s="18" t="str">
        <f t="shared" si="10"/>
        <v>2.625</v>
      </c>
      <c r="AE267" s="17" t="str">
        <f t="shared" si="6"/>
        <v>4.016064257</v>
      </c>
      <c r="AF267" s="17" t="str">
        <f t="shared" si="11"/>
        <v>0.4285714286</v>
      </c>
      <c r="AG267" s="17" t="s">
        <v>30</v>
      </c>
      <c r="AH267" s="17" t="str">
        <f t="shared" si="68"/>
        <v>Arching</v>
      </c>
      <c r="AI267" s="17" t="str">
        <f t="shared" si="16"/>
        <v>Arching</v>
      </c>
      <c r="AJ267" s="17" t="str">
        <f t="shared" si="7"/>
        <v>Thermal Decomposition,corona </v>
      </c>
    </row>
    <row r="268" ht="12.75" customHeight="1">
      <c r="A268" s="11">
        <v>266.0</v>
      </c>
      <c r="B268" s="26" t="s">
        <v>291</v>
      </c>
      <c r="C268" s="13" t="s">
        <v>186</v>
      </c>
      <c r="D268" s="13" t="s">
        <v>249</v>
      </c>
      <c r="E268" s="13" t="s">
        <v>106</v>
      </c>
      <c r="F268" s="13">
        <v>2002.0</v>
      </c>
      <c r="G268" s="14">
        <v>8.0</v>
      </c>
      <c r="H268" s="15">
        <v>34.56</v>
      </c>
      <c r="I268" s="15">
        <v>16140.8</v>
      </c>
      <c r="J268" s="15">
        <v>60918.560000000005</v>
      </c>
      <c r="K268" s="15">
        <v>184.16</v>
      </c>
      <c r="L268" s="15">
        <v>1916.16</v>
      </c>
      <c r="M268" s="15">
        <v>14.719999999999999</v>
      </c>
      <c r="N268" s="15">
        <v>5.0</v>
      </c>
      <c r="O268" s="15">
        <v>53.12</v>
      </c>
      <c r="P268" s="15">
        <v>23.68</v>
      </c>
      <c r="Q268" s="17" t="str">
        <f t="shared" si="1"/>
        <v>0.4457831325</v>
      </c>
      <c r="R268" s="17" t="str">
        <f t="shared" si="2"/>
        <v>0.4259259259</v>
      </c>
      <c r="S268" s="17" t="str">
        <f t="shared" si="8"/>
        <v>10.624</v>
      </c>
      <c r="T268" s="17" t="str">
        <f t="shared" ref="T268:T272" si="227">IF(Q268&lt;1,"Partial discharge,Low Temprature thermal fault,")</f>
        <v>Partial discharge,Low Temprature thermal fault,</v>
      </c>
      <c r="U268" s="17" t="s">
        <v>31</v>
      </c>
      <c r="V268" s="17" t="str">
        <f t="shared" si="226"/>
        <v>Arching,Thermal  Fault &gt; 700 c</v>
      </c>
      <c r="W268" s="17" t="str">
        <f t="shared" si="3"/>
        <v>0.4457831325</v>
      </c>
      <c r="X268" s="17" t="str">
        <f t="shared" si="33"/>
        <v>0.4259259259</v>
      </c>
      <c r="Y268" s="17" t="str">
        <f t="shared" si="9"/>
        <v>10.624</v>
      </c>
      <c r="Z268" s="17" t="s">
        <v>278</v>
      </c>
      <c r="AA268" s="17" t="s">
        <v>34</v>
      </c>
      <c r="AB268" s="17" t="str">
        <f>IF(Y268&lt;0.2,"Partial Discharges, ",IF(Y268&gt;1,"Thermal  Fault  &gt;700 c"))</f>
        <v>Thermal  Fault  &gt;700 c</v>
      </c>
      <c r="AC268" s="17" t="str">
        <f t="shared" si="5"/>
        <v>0.4259259259</v>
      </c>
      <c r="AD268" s="18" t="str">
        <f t="shared" si="10"/>
        <v>0.4457831325</v>
      </c>
      <c r="AE268" s="17" t="str">
        <f t="shared" si="6"/>
        <v>1.608695652</v>
      </c>
      <c r="AF268" s="17" t="str">
        <f t="shared" si="11"/>
        <v>0.2111486486</v>
      </c>
      <c r="AG268" s="17" t="s">
        <v>30</v>
      </c>
      <c r="AH268" s="17" t="str">
        <f t="shared" si="68"/>
        <v>Thermal Decomposition, </v>
      </c>
      <c r="AI268" s="17" t="str">
        <f t="shared" si="16"/>
        <v>Arching</v>
      </c>
      <c r="AJ268" s="17" t="str">
        <f t="shared" si="7"/>
        <v>Arching</v>
      </c>
    </row>
    <row r="269" ht="12.75" customHeight="1">
      <c r="A269" s="11">
        <v>267.0</v>
      </c>
      <c r="B269" s="26" t="s">
        <v>292</v>
      </c>
      <c r="C269" s="13" t="s">
        <v>186</v>
      </c>
      <c r="D269" s="13" t="s">
        <v>249</v>
      </c>
      <c r="E269" s="13" t="s">
        <v>106</v>
      </c>
      <c r="F269" s="13">
        <v>2004.0</v>
      </c>
      <c r="G269" s="14">
        <v>8.1</v>
      </c>
      <c r="H269" s="15">
        <v>8.019</v>
      </c>
      <c r="I269" s="15">
        <v>16342.559999999998</v>
      </c>
      <c r="J269" s="15">
        <v>61680.042</v>
      </c>
      <c r="K269" s="15">
        <v>178.28099999999998</v>
      </c>
      <c r="L269" s="15">
        <v>1800.711</v>
      </c>
      <c r="M269" s="15">
        <v>5.103</v>
      </c>
      <c r="N269" s="15">
        <v>10.0</v>
      </c>
      <c r="O269" s="15">
        <v>9.0</v>
      </c>
      <c r="P269" s="15">
        <v>3.0</v>
      </c>
      <c r="Q269" s="17" t="str">
        <f t="shared" si="1"/>
        <v>0.3333333333</v>
      </c>
      <c r="R269" s="17" t="str">
        <f t="shared" si="2"/>
        <v>0.6363636364</v>
      </c>
      <c r="S269" s="17" t="str">
        <f t="shared" si="8"/>
        <v>0.9</v>
      </c>
      <c r="T269" s="17" t="str">
        <f t="shared" si="227"/>
        <v>Partial discharge,Low Temprature thermal fault,</v>
      </c>
      <c r="U269" s="17" t="s">
        <v>31</v>
      </c>
      <c r="V269" s="17" t="str">
        <f t="shared" si="226"/>
        <v>Partial discharge, Normal </v>
      </c>
      <c r="W269" s="17" t="str">
        <f t="shared" si="3"/>
        <v>0.3333333333</v>
      </c>
      <c r="X269" s="17" t="str">
        <f t="shared" si="33"/>
        <v>0.6363636364</v>
      </c>
      <c r="Y269" s="17" t="str">
        <f t="shared" si="9"/>
        <v>0.9</v>
      </c>
      <c r="Z269" s="17" t="s">
        <v>34</v>
      </c>
      <c r="AA269" s="17" t="s">
        <v>34</v>
      </c>
      <c r="AB269" s="17" t="s">
        <v>107</v>
      </c>
      <c r="AC269" s="17" t="str">
        <f t="shared" si="5"/>
        <v>0.6363636364</v>
      </c>
      <c r="AD269" s="18" t="str">
        <f t="shared" si="10"/>
        <v>0.3333333333</v>
      </c>
      <c r="AE269" s="17" t="str">
        <f t="shared" si="6"/>
        <v>0.5878894768</v>
      </c>
      <c r="AF269" s="17" t="str">
        <f t="shared" si="11"/>
        <v>3.333333333</v>
      </c>
      <c r="AG269" s="17" t="s">
        <v>30</v>
      </c>
      <c r="AH269" s="17" t="str">
        <f t="shared" si="68"/>
        <v>Thermal Decomposition, </v>
      </c>
      <c r="AI269" s="17" t="str">
        <f t="shared" si="16"/>
        <v>Arching</v>
      </c>
      <c r="AJ269" s="17" t="str">
        <f t="shared" si="7"/>
        <v>Thermal Decomposition,corona </v>
      </c>
    </row>
    <row r="270" ht="12.75" customHeight="1">
      <c r="A270" s="11">
        <v>268.0</v>
      </c>
      <c r="B270" s="17" t="s">
        <v>293</v>
      </c>
      <c r="C270" s="17" t="s">
        <v>294</v>
      </c>
      <c r="D270" s="17" t="s">
        <v>295</v>
      </c>
      <c r="E270" s="22" t="s">
        <v>93</v>
      </c>
      <c r="F270" s="17">
        <v>2007.0</v>
      </c>
      <c r="G270" s="17">
        <v>8.1</v>
      </c>
      <c r="H270" s="16">
        <v>1.539</v>
      </c>
      <c r="I270" s="16">
        <v>15838.092</v>
      </c>
      <c r="J270" s="16">
        <v>62699.58899999999</v>
      </c>
      <c r="K270" s="16">
        <v>110.565</v>
      </c>
      <c r="L270" s="16">
        <v>1232.334</v>
      </c>
      <c r="M270" s="16">
        <v>8.585999999999999</v>
      </c>
      <c r="N270" s="16">
        <v>11.0</v>
      </c>
      <c r="O270" s="16">
        <v>7.0</v>
      </c>
      <c r="P270" s="16">
        <v>4.0</v>
      </c>
      <c r="Q270" s="17" t="str">
        <f t="shared" si="1"/>
        <v>0.5714285714</v>
      </c>
      <c r="R270" s="17" t="str">
        <f t="shared" si="2"/>
        <v>5.578947368</v>
      </c>
      <c r="S270" s="17" t="str">
        <f t="shared" si="8"/>
        <v>0.6363636364</v>
      </c>
      <c r="T270" s="17" t="str">
        <f t="shared" si="227"/>
        <v>Partial discharge,Low Temprature thermal fault,</v>
      </c>
      <c r="U270" s="17" t="str">
        <f t="shared" ref="U270:U275" si="228">IF(R270&gt;1,"Thermal Fault &lt;700c, thermal fault &gt;700c ")</f>
        <v>Thermal Fault &lt;700c, thermal fault &gt;700c </v>
      </c>
      <c r="V270" s="17" t="str">
        <f t="shared" si="226"/>
        <v>Partial discharge, Normal </v>
      </c>
      <c r="W270" s="17" t="str">
        <f t="shared" si="3"/>
        <v>0.5714285714</v>
      </c>
      <c r="X270" s="17" t="str">
        <f t="shared" si="33"/>
        <v>5.578947368</v>
      </c>
      <c r="Y270" s="17" t="str">
        <f t="shared" si="9"/>
        <v>0.6363636364</v>
      </c>
      <c r="Z270" s="17" t="s">
        <v>34</v>
      </c>
      <c r="AA270" s="17" t="str">
        <f t="shared" ref="AA270:AA275" si="229">IF(X270&lt;0.1,"Partial Discharges, ",IF(X270&gt;1,"Thermal  Fault &gt;300c and&lt;700 and &gt;700 c"))</f>
        <v>Thermal  Fault &gt;300c and&lt;700 and &gt;700 c</v>
      </c>
      <c r="AB270" s="17" t="s">
        <v>107</v>
      </c>
      <c r="AC270" s="17" t="str">
        <f t="shared" si="5"/>
        <v>5.578947368</v>
      </c>
      <c r="AD270" s="18" t="str">
        <f t="shared" si="10"/>
        <v>0.5714285714</v>
      </c>
      <c r="AE270" s="17" t="str">
        <f t="shared" si="6"/>
        <v>0.4658746797</v>
      </c>
      <c r="AF270" s="17" t="str">
        <f t="shared" si="11"/>
        <v>2.75</v>
      </c>
      <c r="AG270" s="17" t="str">
        <f t="shared" ref="AG270:AG275" si="230">IF(AC270&gt;1,"Thermal Decomposition, ",IF(AC270&lt;0.1,"Corona,Arching"))</f>
        <v>Thermal Decomposition, </v>
      </c>
      <c r="AH270" s="17" t="str">
        <f t="shared" si="68"/>
        <v>Thermal Decomposition, </v>
      </c>
      <c r="AI270" s="17" t="str">
        <f t="shared" si="16"/>
        <v>Arching</v>
      </c>
      <c r="AJ270" s="17" t="str">
        <f t="shared" si="7"/>
        <v>Thermal Decomposition,corona </v>
      </c>
    </row>
    <row r="271" ht="12.75" customHeight="1">
      <c r="A271" s="11">
        <v>269.0</v>
      </c>
      <c r="B271" s="17" t="s">
        <v>296</v>
      </c>
      <c r="C271" s="17" t="s">
        <v>294</v>
      </c>
      <c r="D271" s="17" t="s">
        <v>295</v>
      </c>
      <c r="E271" s="22" t="s">
        <v>138</v>
      </c>
      <c r="F271" s="17">
        <v>2005.0</v>
      </c>
      <c r="G271" s="17">
        <v>7.5</v>
      </c>
      <c r="H271" s="16">
        <v>3.9</v>
      </c>
      <c r="I271" s="16">
        <v>14896.95</v>
      </c>
      <c r="J271" s="16">
        <v>57686.775</v>
      </c>
      <c r="K271" s="16">
        <v>106.87499999999999</v>
      </c>
      <c r="L271" s="16">
        <v>1264.2</v>
      </c>
      <c r="M271" s="16">
        <v>6.975</v>
      </c>
      <c r="N271" s="16">
        <v>12.0</v>
      </c>
      <c r="O271" s="16">
        <v>6.0</v>
      </c>
      <c r="P271" s="16">
        <v>3.0</v>
      </c>
      <c r="Q271" s="17" t="str">
        <f t="shared" si="1"/>
        <v>0.5</v>
      </c>
      <c r="R271" s="17" t="str">
        <f t="shared" si="2"/>
        <v>1.788461538</v>
      </c>
      <c r="S271" s="17" t="str">
        <f t="shared" si="8"/>
        <v>0.5</v>
      </c>
      <c r="T271" s="17" t="str">
        <f t="shared" si="227"/>
        <v>Partial discharge,Low Temprature thermal fault,</v>
      </c>
      <c r="U271" s="17" t="str">
        <f t="shared" si="228"/>
        <v>Thermal Fault &lt;700c, thermal fault &gt;700c </v>
      </c>
      <c r="V271" s="17" t="str">
        <f t="shared" si="226"/>
        <v>Partial discharge, Normal </v>
      </c>
      <c r="W271" s="17" t="str">
        <f t="shared" si="3"/>
        <v>0.5</v>
      </c>
      <c r="X271" s="17" t="str">
        <f t="shared" si="33"/>
        <v>1.788461538</v>
      </c>
      <c r="Y271" s="17" t="str">
        <f t="shared" si="9"/>
        <v>0.5</v>
      </c>
      <c r="Z271" s="17" t="s">
        <v>34</v>
      </c>
      <c r="AA271" s="17" t="str">
        <f t="shared" si="229"/>
        <v>Thermal  Fault &gt;300c and&lt;700 and &gt;700 c</v>
      </c>
      <c r="AB271" s="17" t="s">
        <v>107</v>
      </c>
      <c r="AC271" s="17" t="str">
        <f t="shared" si="5"/>
        <v>1.788461538</v>
      </c>
      <c r="AD271" s="18" t="str">
        <f t="shared" si="10"/>
        <v>0.5</v>
      </c>
      <c r="AE271" s="17" t="str">
        <f t="shared" si="6"/>
        <v>0.4301075269</v>
      </c>
      <c r="AF271" s="17" t="str">
        <f t="shared" si="11"/>
        <v>4</v>
      </c>
      <c r="AG271" s="17" t="str">
        <f t="shared" si="230"/>
        <v>Thermal Decomposition, </v>
      </c>
      <c r="AH271" s="17" t="str">
        <f t="shared" si="68"/>
        <v>Thermal Decomposition, </v>
      </c>
      <c r="AI271" s="17" t="str">
        <f t="shared" si="16"/>
        <v>Arching</v>
      </c>
      <c r="AJ271" s="17" t="str">
        <f t="shared" si="7"/>
        <v>Thermal Decomposition,corona </v>
      </c>
    </row>
    <row r="272" ht="12.75" customHeight="1">
      <c r="A272" s="11">
        <v>270.0</v>
      </c>
      <c r="B272" s="17">
        <v>17391.0</v>
      </c>
      <c r="C272" s="17" t="s">
        <v>40</v>
      </c>
      <c r="D272" s="17" t="s">
        <v>297</v>
      </c>
      <c r="E272" s="22" t="s">
        <v>67</v>
      </c>
      <c r="F272" s="22" t="s">
        <v>67</v>
      </c>
      <c r="G272" s="17">
        <v>8.4</v>
      </c>
      <c r="H272" s="16">
        <v>62.076</v>
      </c>
      <c r="I272" s="16">
        <v>16249.632</v>
      </c>
      <c r="J272" s="16">
        <v>61178.96399999999</v>
      </c>
      <c r="K272" s="16">
        <v>186.06</v>
      </c>
      <c r="L272" s="16">
        <v>2205.42</v>
      </c>
      <c r="M272" s="16">
        <v>1298.976</v>
      </c>
      <c r="N272" s="16">
        <v>295.092</v>
      </c>
      <c r="O272" s="16">
        <v>2019.864</v>
      </c>
      <c r="P272" s="16">
        <v>26.208</v>
      </c>
      <c r="Q272" s="17" t="str">
        <f t="shared" si="1"/>
        <v>0.012975131</v>
      </c>
      <c r="R272" s="17" t="str">
        <f t="shared" si="2"/>
        <v>20.9255751</v>
      </c>
      <c r="S272" s="17" t="str">
        <f t="shared" si="8"/>
        <v>6.844861941</v>
      </c>
      <c r="T272" s="17" t="str">
        <f t="shared" si="227"/>
        <v>Partial discharge,Low Temprature thermal fault,</v>
      </c>
      <c r="U272" s="17" t="str">
        <f t="shared" si="228"/>
        <v>Thermal Fault &lt;700c, thermal fault &gt;700c </v>
      </c>
      <c r="V272" s="17" t="str">
        <f t="shared" si="226"/>
        <v>Arching,Thermal  Fault &gt; 700 c</v>
      </c>
      <c r="W272" s="17" t="str">
        <f t="shared" si="3"/>
        <v>0.012975131</v>
      </c>
      <c r="X272" s="17" t="str">
        <f t="shared" si="33"/>
        <v>20.9255751</v>
      </c>
      <c r="Y272" s="17" t="str">
        <f t="shared" si="9"/>
        <v>6.844861941</v>
      </c>
      <c r="Z272" s="17" t="str">
        <f t="shared" ref="Z272:Z275" si="231">IF(W272&gt;1,"Discharge of Low Energy,  ",IF(W272&lt;0.1,"Thermal  Fault&gt; 300c and&lt;700 c"))</f>
        <v>Thermal  Fault&gt; 300c and&lt;700 c</v>
      </c>
      <c r="AA272" s="17" t="str">
        <f t="shared" si="229"/>
        <v>Thermal  Fault &gt;300c and&lt;700 and &gt;700 c</v>
      </c>
      <c r="AB272" s="17" t="str">
        <f t="shared" ref="AB272:AB273" si="232">IF(Y272&lt;0.2,"Partial Discharges, ",IF(Y272&gt;1,"Thermal  Fault  &gt;700 c"))</f>
        <v>Thermal  Fault  &gt;700 c</v>
      </c>
      <c r="AC272" s="17" t="str">
        <f t="shared" si="5"/>
        <v>20.9255751</v>
      </c>
      <c r="AD272" s="18" t="str">
        <f t="shared" si="10"/>
        <v>0.012975131</v>
      </c>
      <c r="AE272" s="17" t="str">
        <f t="shared" si="6"/>
        <v>0.0201758924</v>
      </c>
      <c r="AF272" s="17" t="str">
        <f t="shared" si="11"/>
        <v>11.25961538</v>
      </c>
      <c r="AG272" s="17" t="str">
        <f t="shared" si="230"/>
        <v>Thermal Decomposition, </v>
      </c>
      <c r="AH272" s="17" t="str">
        <f t="shared" si="68"/>
        <v>Thermal Decomposition, </v>
      </c>
      <c r="AI272" s="17" t="str">
        <f t="shared" si="16"/>
        <v>Thermal Decomposition,corona </v>
      </c>
      <c r="AJ272" s="17" t="str">
        <f t="shared" si="7"/>
        <v>Thermal Decomposition,corona </v>
      </c>
    </row>
    <row r="273" ht="12.75" customHeight="1">
      <c r="A273" s="11">
        <v>271.0</v>
      </c>
      <c r="B273" s="17" t="s">
        <v>298</v>
      </c>
      <c r="C273" s="17" t="s">
        <v>40</v>
      </c>
      <c r="D273" s="22" t="s">
        <v>155</v>
      </c>
      <c r="E273" s="22" t="s">
        <v>155</v>
      </c>
      <c r="F273" s="22" t="s">
        <v>155</v>
      </c>
      <c r="G273" s="17">
        <v>7.8</v>
      </c>
      <c r="H273" s="16">
        <v>6.318</v>
      </c>
      <c r="I273" s="16">
        <v>15846.011999999999</v>
      </c>
      <c r="J273" s="16">
        <v>59167.914000000004</v>
      </c>
      <c r="K273" s="16">
        <v>194.14200000000002</v>
      </c>
      <c r="L273" s="16">
        <v>2067.9359999999997</v>
      </c>
      <c r="M273" s="16">
        <v>8.033999999999999</v>
      </c>
      <c r="N273" s="16">
        <v>9.0</v>
      </c>
      <c r="O273" s="16">
        <v>10.764</v>
      </c>
      <c r="P273" s="16">
        <v>11.0</v>
      </c>
      <c r="Q273" s="17" t="str">
        <f t="shared" si="1"/>
        <v>1.021924935</v>
      </c>
      <c r="R273" s="17" t="str">
        <f t="shared" si="2"/>
        <v>1.271604938</v>
      </c>
      <c r="S273" s="17" t="str">
        <f t="shared" si="8"/>
        <v>1.196</v>
      </c>
      <c r="T273" s="17" t="s">
        <v>30</v>
      </c>
      <c r="U273" s="17" t="str">
        <f t="shared" si="228"/>
        <v>Thermal Fault &lt;700c, thermal fault &gt;700c </v>
      </c>
      <c r="V273" s="17" t="s">
        <v>37</v>
      </c>
      <c r="W273" s="17" t="str">
        <f t="shared" si="3"/>
        <v>1.021924935</v>
      </c>
      <c r="X273" s="17" t="str">
        <f t="shared" si="33"/>
        <v>1.271604938</v>
      </c>
      <c r="Y273" s="17" t="str">
        <f t="shared" si="9"/>
        <v>1.196</v>
      </c>
      <c r="Z273" s="17" t="str">
        <f t="shared" si="231"/>
        <v>Discharge of Low Energy,  </v>
      </c>
      <c r="AA273" s="17" t="str">
        <f t="shared" si="229"/>
        <v>Thermal  Fault &gt;300c and&lt;700 and &gt;700 c</v>
      </c>
      <c r="AB273" s="17" t="str">
        <f t="shared" si="232"/>
        <v>Thermal  Fault  &gt;700 c</v>
      </c>
      <c r="AC273" s="17" t="str">
        <f t="shared" si="5"/>
        <v>1.271604938</v>
      </c>
      <c r="AD273" s="18" t="str">
        <f t="shared" si="10"/>
        <v>1.021924935</v>
      </c>
      <c r="AE273" s="17" t="str">
        <f t="shared" si="6"/>
        <v>1.369180981</v>
      </c>
      <c r="AF273" s="17" t="str">
        <f t="shared" si="11"/>
        <v>0.8181818182</v>
      </c>
      <c r="AG273" s="17" t="str">
        <f t="shared" si="230"/>
        <v>Thermal Decomposition, </v>
      </c>
      <c r="AH273" s="17" t="str">
        <f t="shared" si="68"/>
        <v>Arching</v>
      </c>
      <c r="AI273" s="17" t="str">
        <f t="shared" si="16"/>
        <v>Arching</v>
      </c>
      <c r="AJ273" s="17" t="str">
        <f t="shared" si="7"/>
        <v>Thermal Decomposition,corona </v>
      </c>
    </row>
    <row r="274" ht="12.75" customHeight="1">
      <c r="A274" s="11">
        <v>272.0</v>
      </c>
      <c r="B274" s="21" t="s">
        <v>299</v>
      </c>
      <c r="C274" s="21" t="s">
        <v>186</v>
      </c>
      <c r="D274" s="21" t="s">
        <v>300</v>
      </c>
      <c r="E274" s="21" t="s">
        <v>95</v>
      </c>
      <c r="F274" s="21">
        <v>1997.0</v>
      </c>
      <c r="G274" s="17">
        <v>7.6</v>
      </c>
      <c r="H274" s="16">
        <v>3.952</v>
      </c>
      <c r="I274" s="16">
        <v>15042.679999999998</v>
      </c>
      <c r="J274" s="16">
        <v>58482.151999999995</v>
      </c>
      <c r="K274" s="16">
        <v>136.192</v>
      </c>
      <c r="L274" s="16">
        <v>1357.588</v>
      </c>
      <c r="M274" s="16">
        <v>5.699999999999999</v>
      </c>
      <c r="N274" s="16">
        <v>6.0</v>
      </c>
      <c r="O274" s="16">
        <v>1.9</v>
      </c>
      <c r="P274" s="16">
        <v>23.0</v>
      </c>
      <c r="Q274" s="17" t="str">
        <f t="shared" si="1"/>
        <v>12.10526316</v>
      </c>
      <c r="R274" s="17" t="str">
        <f t="shared" si="2"/>
        <v>1.442307692</v>
      </c>
      <c r="S274" s="17" t="str">
        <f t="shared" si="8"/>
        <v>0.3166666667</v>
      </c>
      <c r="T274" s="17" t="s">
        <v>30</v>
      </c>
      <c r="U274" s="17" t="str">
        <f t="shared" si="228"/>
        <v>Thermal Fault &lt;700c, thermal fault &gt;700c </v>
      </c>
      <c r="V274" s="17" t="str">
        <f t="shared" ref="V274:V275" si="233">IF(S274&lt;1,"Partial discharge, Normal ",IF(S274&gt;3,"Arching,Thermal  Fault &gt; 700 c"))</f>
        <v>Partial discharge, Normal </v>
      </c>
      <c r="W274" s="17" t="str">
        <f t="shared" si="3"/>
        <v>12.10526316</v>
      </c>
      <c r="X274" s="17" t="str">
        <f t="shared" si="33"/>
        <v>1.442307692</v>
      </c>
      <c r="Y274" s="17" t="str">
        <f t="shared" si="9"/>
        <v>0.3166666667</v>
      </c>
      <c r="Z274" s="17" t="str">
        <f t="shared" si="231"/>
        <v>Discharge of Low Energy,  </v>
      </c>
      <c r="AA274" s="17" t="str">
        <f t="shared" si="229"/>
        <v>Thermal  Fault &gt;300c and&lt;700 and &gt;700 c</v>
      </c>
      <c r="AB274" s="17" t="s">
        <v>107</v>
      </c>
      <c r="AC274" s="17" t="str">
        <f t="shared" si="5"/>
        <v>1.442307692</v>
      </c>
      <c r="AD274" s="18" t="str">
        <f t="shared" si="10"/>
        <v>12.10526316</v>
      </c>
      <c r="AE274" s="17" t="str">
        <f t="shared" si="6"/>
        <v>4.035087719</v>
      </c>
      <c r="AF274" s="17" t="str">
        <f t="shared" si="11"/>
        <v>0.2608695652</v>
      </c>
      <c r="AG274" s="17" t="str">
        <f t="shared" si="230"/>
        <v>Thermal Decomposition, </v>
      </c>
      <c r="AH274" s="17" t="str">
        <f t="shared" si="68"/>
        <v>Arching</v>
      </c>
      <c r="AI274" s="17" t="str">
        <f t="shared" si="16"/>
        <v>Arching</v>
      </c>
      <c r="AJ274" s="17" t="str">
        <f t="shared" si="7"/>
        <v>Arching</v>
      </c>
    </row>
    <row r="275" ht="12.75" customHeight="1">
      <c r="A275" s="11">
        <v>273.0</v>
      </c>
      <c r="B275" s="21" t="s">
        <v>299</v>
      </c>
      <c r="C275" s="21" t="s">
        <v>186</v>
      </c>
      <c r="D275" s="21" t="s">
        <v>300</v>
      </c>
      <c r="E275" s="21" t="s">
        <v>95</v>
      </c>
      <c r="F275" s="21">
        <v>1997.0</v>
      </c>
      <c r="G275" s="17">
        <v>7.9</v>
      </c>
      <c r="H275" s="16">
        <v>4.819</v>
      </c>
      <c r="I275" s="16">
        <v>16277.081000000002</v>
      </c>
      <c r="J275" s="16">
        <v>60683.69200000001</v>
      </c>
      <c r="K275" s="16">
        <v>141.805</v>
      </c>
      <c r="L275" s="16">
        <v>1472.165</v>
      </c>
      <c r="M275" s="16">
        <v>6.478000000000001</v>
      </c>
      <c r="N275" s="16">
        <v>4.0</v>
      </c>
      <c r="O275" s="16">
        <v>1.8170000000000002</v>
      </c>
      <c r="P275" s="16">
        <v>10.0</v>
      </c>
      <c r="Q275" s="17" t="str">
        <f t="shared" si="1"/>
        <v>5.503577325</v>
      </c>
      <c r="R275" s="17" t="str">
        <f t="shared" si="2"/>
        <v>1.344262295</v>
      </c>
      <c r="S275" s="17" t="str">
        <f t="shared" si="8"/>
        <v>0.45425</v>
      </c>
      <c r="T275" s="17" t="s">
        <v>30</v>
      </c>
      <c r="U275" s="17" t="str">
        <f t="shared" si="228"/>
        <v>Thermal Fault &lt;700c, thermal fault &gt;700c </v>
      </c>
      <c r="V275" s="17" t="str">
        <f t="shared" si="233"/>
        <v>Partial discharge, Normal </v>
      </c>
      <c r="W275" s="17" t="str">
        <f t="shared" si="3"/>
        <v>5.503577325</v>
      </c>
      <c r="X275" s="17" t="str">
        <f t="shared" si="33"/>
        <v>1.344262295</v>
      </c>
      <c r="Y275" s="17" t="str">
        <f t="shared" si="9"/>
        <v>0.45425</v>
      </c>
      <c r="Z275" s="17" t="str">
        <f t="shared" si="231"/>
        <v>Discharge of Low Energy,  </v>
      </c>
      <c r="AA275" s="17" t="str">
        <f t="shared" si="229"/>
        <v>Thermal  Fault &gt;300c and&lt;700 and &gt;700 c</v>
      </c>
      <c r="AB275" s="17" t="s">
        <v>107</v>
      </c>
      <c r="AC275" s="17" t="str">
        <f t="shared" si="5"/>
        <v>1.344262295</v>
      </c>
      <c r="AD275" s="18" t="str">
        <f t="shared" si="10"/>
        <v>5.503577325</v>
      </c>
      <c r="AE275" s="17" t="str">
        <f t="shared" si="6"/>
        <v>1.543686323</v>
      </c>
      <c r="AF275" s="17" t="str">
        <f t="shared" si="11"/>
        <v>0.4</v>
      </c>
      <c r="AG275" s="17" t="str">
        <f t="shared" si="230"/>
        <v>Thermal Decomposition, </v>
      </c>
      <c r="AH275" s="17" t="str">
        <f t="shared" si="68"/>
        <v>Arching</v>
      </c>
      <c r="AI275" s="17" t="str">
        <f t="shared" si="16"/>
        <v>Arching</v>
      </c>
      <c r="AJ275" s="17" t="s">
        <v>30</v>
      </c>
    </row>
    <row r="276" ht="12.75" customHeight="1">
      <c r="A276" s="11">
        <v>274.0</v>
      </c>
      <c r="B276" s="21" t="s">
        <v>301</v>
      </c>
      <c r="C276" s="21" t="s">
        <v>186</v>
      </c>
      <c r="D276" s="21" t="s">
        <v>300</v>
      </c>
      <c r="E276" s="21" t="s">
        <v>95</v>
      </c>
      <c r="F276" s="21">
        <v>1997.0</v>
      </c>
      <c r="G276" s="17">
        <v>8.4</v>
      </c>
      <c r="H276" s="16">
        <v>5.46</v>
      </c>
      <c r="I276" s="16">
        <v>15580.404000000002</v>
      </c>
      <c r="J276" s="16">
        <v>65975.28000000001</v>
      </c>
      <c r="K276" s="16">
        <v>117.18000000000002</v>
      </c>
      <c r="L276" s="16">
        <v>1255.9680000000003</v>
      </c>
      <c r="M276" s="16">
        <v>4.704</v>
      </c>
      <c r="N276" s="16">
        <v>7.0</v>
      </c>
      <c r="O276" s="16">
        <v>9.0</v>
      </c>
      <c r="P276" s="16">
        <v>7.0</v>
      </c>
      <c r="Q276" s="17" t="str">
        <f t="shared" si="1"/>
        <v>0.7777777778</v>
      </c>
      <c r="R276" s="17" t="str">
        <f t="shared" si="2"/>
        <v>0.8615384615</v>
      </c>
      <c r="S276" s="17" t="str">
        <f t="shared" si="8"/>
        <v>1.285714286</v>
      </c>
      <c r="T276" s="17" t="str">
        <f t="shared" ref="T276:T278" si="234">IF(Q276&lt;1,"Partial discharge,Low Temprature thermal fault,")</f>
        <v>Partial discharge,Low Temprature thermal fault,</v>
      </c>
      <c r="U276" s="17" t="s">
        <v>31</v>
      </c>
      <c r="V276" s="17" t="s">
        <v>37</v>
      </c>
      <c r="W276" s="17" t="str">
        <f t="shared" si="3"/>
        <v>0.7777777778</v>
      </c>
      <c r="X276" s="17" t="str">
        <f t="shared" si="33"/>
        <v>0.8615384615</v>
      </c>
      <c r="Y276" s="17" t="str">
        <f t="shared" si="9"/>
        <v>1.285714286</v>
      </c>
      <c r="Z276" s="17" t="s">
        <v>34</v>
      </c>
      <c r="AA276" s="17" t="s">
        <v>34</v>
      </c>
      <c r="AB276" s="17" t="str">
        <f>IF(Y276&lt;0.2,"Partial Discharges, ",IF(Y276&gt;1,"Thermal  Fault  &gt;700 c"))</f>
        <v>Thermal  Fault  &gt;700 c</v>
      </c>
      <c r="AC276" s="17" t="str">
        <f t="shared" si="5"/>
        <v>0.8615384615</v>
      </c>
      <c r="AD276" s="18" t="str">
        <f t="shared" si="10"/>
        <v>0.7777777778</v>
      </c>
      <c r="AE276" s="17" t="str">
        <f t="shared" si="6"/>
        <v>1.488095238</v>
      </c>
      <c r="AF276" s="17" t="str">
        <f t="shared" si="11"/>
        <v>1</v>
      </c>
      <c r="AG276" s="17" t="s">
        <v>30</v>
      </c>
      <c r="AH276" s="17" t="str">
        <f t="shared" si="68"/>
        <v>Arching</v>
      </c>
      <c r="AI276" s="17" t="str">
        <f t="shared" si="16"/>
        <v>Arching</v>
      </c>
      <c r="AJ276" s="17" t="str">
        <f t="shared" ref="AJ276:AJ512" si="235">IF(AF276&gt;0.4,"Thermal Decomposition,corona ",IF(AF276&lt;0.4,"Arching"))</f>
        <v>Thermal Decomposition,corona </v>
      </c>
    </row>
    <row r="277" ht="12.75" customHeight="1">
      <c r="A277" s="11">
        <v>275.0</v>
      </c>
      <c r="B277" s="21" t="s">
        <v>301</v>
      </c>
      <c r="C277" s="21" t="s">
        <v>186</v>
      </c>
      <c r="D277" s="21" t="s">
        <v>300</v>
      </c>
      <c r="E277" s="21" t="s">
        <v>95</v>
      </c>
      <c r="F277" s="21">
        <v>1997.0</v>
      </c>
      <c r="G277" s="17">
        <v>8.4</v>
      </c>
      <c r="H277" s="16">
        <v>3.6960000000000006</v>
      </c>
      <c r="I277" s="16">
        <v>15264.815999999999</v>
      </c>
      <c r="J277" s="16">
        <v>66123.20400000001</v>
      </c>
      <c r="K277" s="16">
        <v>113.82000000000001</v>
      </c>
      <c r="L277" s="16">
        <v>1261.848</v>
      </c>
      <c r="M277" s="16">
        <v>6.804</v>
      </c>
      <c r="N277" s="16">
        <v>9.0</v>
      </c>
      <c r="O277" s="16">
        <v>8.0</v>
      </c>
      <c r="P277" s="16">
        <v>5.0</v>
      </c>
      <c r="Q277" s="17" t="str">
        <f t="shared" si="1"/>
        <v>0.625</v>
      </c>
      <c r="R277" s="17" t="str">
        <f t="shared" si="2"/>
        <v>1.840909091</v>
      </c>
      <c r="S277" s="17" t="str">
        <f t="shared" si="8"/>
        <v>0.8888888889</v>
      </c>
      <c r="T277" s="17" t="str">
        <f t="shared" si="234"/>
        <v>Partial discharge,Low Temprature thermal fault,</v>
      </c>
      <c r="U277" s="17" t="str">
        <f t="shared" ref="U277:U279" si="236">IF(R277&gt;1,"Thermal Fault &lt;700c, thermal fault &gt;700c ")</f>
        <v>Thermal Fault &lt;700c, thermal fault &gt;700c </v>
      </c>
      <c r="V277" s="17" t="str">
        <f>IF(S277&lt;1,"Partial discharge, Normal ",IF(S277&gt;3,"Arching,Thermal  Fault &gt; 700 c"))</f>
        <v>Partial discharge, Normal </v>
      </c>
      <c r="W277" s="17" t="str">
        <f t="shared" si="3"/>
        <v>0.625</v>
      </c>
      <c r="X277" s="17" t="str">
        <f t="shared" si="33"/>
        <v>1.840909091</v>
      </c>
      <c r="Y277" s="17" t="str">
        <f t="shared" si="9"/>
        <v>0.8888888889</v>
      </c>
      <c r="Z277" s="17" t="s">
        <v>34</v>
      </c>
      <c r="AA277" s="17" t="str">
        <f t="shared" ref="AA277:AA279" si="237">IF(X277&lt;0.1,"Partial Discharges, ",IF(X277&gt;1,"Thermal  Fault &gt;300c and&lt;700 and &gt;700 c"))</f>
        <v>Thermal  Fault &gt;300c and&lt;700 and &gt;700 c</v>
      </c>
      <c r="AB277" s="17" t="s">
        <v>107</v>
      </c>
      <c r="AC277" s="17" t="str">
        <f t="shared" si="5"/>
        <v>1.840909091</v>
      </c>
      <c r="AD277" s="18" t="str">
        <f t="shared" si="10"/>
        <v>0.625</v>
      </c>
      <c r="AE277" s="17" t="str">
        <f t="shared" si="6"/>
        <v>0.734861846</v>
      </c>
      <c r="AF277" s="17" t="str">
        <f t="shared" si="11"/>
        <v>1.8</v>
      </c>
      <c r="AG277" s="17" t="str">
        <f t="shared" ref="AG277:AG279" si="238">IF(AC277&gt;1,"Thermal Decomposition, ",IF(AC277&lt;0.1,"Corona,Arching"))</f>
        <v>Thermal Decomposition, </v>
      </c>
      <c r="AH277" s="17" t="str">
        <f t="shared" si="68"/>
        <v>Thermal Decomposition, </v>
      </c>
      <c r="AI277" s="17" t="str">
        <f t="shared" si="16"/>
        <v>Arching</v>
      </c>
      <c r="AJ277" s="17" t="str">
        <f t="shared" si="235"/>
        <v>Thermal Decomposition,corona </v>
      </c>
    </row>
    <row r="278" ht="12.75" customHeight="1">
      <c r="A278" s="11">
        <v>276.0</v>
      </c>
      <c r="B278" s="21" t="s">
        <v>302</v>
      </c>
      <c r="C278" s="21" t="s">
        <v>197</v>
      </c>
      <c r="D278" s="21" t="s">
        <v>187</v>
      </c>
      <c r="E278" s="21" t="s">
        <v>106</v>
      </c>
      <c r="F278" s="21" t="s">
        <v>303</v>
      </c>
      <c r="G278" s="17">
        <v>7.8</v>
      </c>
      <c r="H278" s="16">
        <v>4.367999999999999</v>
      </c>
      <c r="I278" s="16">
        <v>15713.178</v>
      </c>
      <c r="J278" s="16">
        <v>59773.34999999999</v>
      </c>
      <c r="K278" s="16">
        <v>129.168</v>
      </c>
      <c r="L278" s="16">
        <v>1371.786</v>
      </c>
      <c r="M278" s="16">
        <v>15.833999999999998</v>
      </c>
      <c r="N278" s="16">
        <v>9.282</v>
      </c>
      <c r="O278" s="16">
        <v>23.244</v>
      </c>
      <c r="P278" s="16">
        <v>3.0</v>
      </c>
      <c r="Q278" s="17" t="str">
        <f t="shared" si="1"/>
        <v>0.1290655653</v>
      </c>
      <c r="R278" s="17" t="str">
        <f t="shared" si="2"/>
        <v>3.625</v>
      </c>
      <c r="S278" s="17" t="str">
        <f t="shared" si="8"/>
        <v>2.504201681</v>
      </c>
      <c r="T278" s="17" t="str">
        <f t="shared" si="234"/>
        <v>Partial discharge,Low Temprature thermal fault,</v>
      </c>
      <c r="U278" s="17" t="str">
        <f t="shared" si="236"/>
        <v>Thermal Fault &lt;700c, thermal fault &gt;700c </v>
      </c>
      <c r="V278" s="17" t="s">
        <v>37</v>
      </c>
      <c r="W278" s="17" t="str">
        <f t="shared" si="3"/>
        <v>0.1290655653</v>
      </c>
      <c r="X278" s="17" t="str">
        <f t="shared" si="33"/>
        <v>3.625</v>
      </c>
      <c r="Y278" s="17" t="str">
        <f t="shared" si="9"/>
        <v>2.504201681</v>
      </c>
      <c r="Z278" s="17" t="s">
        <v>34</v>
      </c>
      <c r="AA278" s="17" t="str">
        <f t="shared" si="237"/>
        <v>Thermal  Fault &gt;300c and&lt;700 and &gt;700 c</v>
      </c>
      <c r="AB278" s="17" t="str">
        <f t="shared" ref="AB278:AB279" si="239">IF(Y278&lt;0.2,"Partial Discharges, ",IF(Y278&gt;1,"Thermal  Fault  &gt;700 c"))</f>
        <v>Thermal  Fault  &gt;700 c</v>
      </c>
      <c r="AC278" s="17" t="str">
        <f t="shared" si="5"/>
        <v>3.625</v>
      </c>
      <c r="AD278" s="18" t="str">
        <f t="shared" si="10"/>
        <v>0.1290655653</v>
      </c>
      <c r="AE278" s="17" t="str">
        <f t="shared" si="6"/>
        <v>0.1894657067</v>
      </c>
      <c r="AF278" s="17" t="str">
        <f t="shared" si="11"/>
        <v>3.094</v>
      </c>
      <c r="AG278" s="17" t="str">
        <f t="shared" si="238"/>
        <v>Thermal Decomposition, </v>
      </c>
      <c r="AH278" s="17" t="str">
        <f t="shared" si="68"/>
        <v>Thermal Decomposition, </v>
      </c>
      <c r="AI278" s="17" t="str">
        <f t="shared" si="16"/>
        <v>Thermal Decomposition,corona </v>
      </c>
      <c r="AJ278" s="17" t="str">
        <f t="shared" si="235"/>
        <v>Thermal Decomposition,corona </v>
      </c>
    </row>
    <row r="279" ht="12.75" customHeight="1">
      <c r="A279" s="11">
        <v>277.0</v>
      </c>
      <c r="B279" s="21" t="s">
        <v>304</v>
      </c>
      <c r="C279" s="21" t="s">
        <v>197</v>
      </c>
      <c r="D279" s="21" t="s">
        <v>187</v>
      </c>
      <c r="E279" s="21" t="s">
        <v>106</v>
      </c>
      <c r="F279" s="21" t="s">
        <v>303</v>
      </c>
      <c r="G279" s="17">
        <v>7.8</v>
      </c>
      <c r="H279" s="16">
        <v>35.49</v>
      </c>
      <c r="I279" s="16">
        <v>15636.503999999999</v>
      </c>
      <c r="J279" s="16">
        <v>59463.924</v>
      </c>
      <c r="K279" s="16">
        <v>184.46999999999997</v>
      </c>
      <c r="L279" s="16">
        <v>1912.95</v>
      </c>
      <c r="M279" s="16">
        <v>66.61200000000001</v>
      </c>
      <c r="N279" s="16">
        <v>174.408</v>
      </c>
      <c r="O279" s="16">
        <v>10.607999999999999</v>
      </c>
      <c r="P279" s="16">
        <v>22.0</v>
      </c>
      <c r="Q279" s="17" t="str">
        <f t="shared" si="1"/>
        <v>2.073906486</v>
      </c>
      <c r="R279" s="17" t="str">
        <f t="shared" si="2"/>
        <v>1.876923077</v>
      </c>
      <c r="S279" s="17" t="str">
        <f t="shared" si="8"/>
        <v>0.06082289803</v>
      </c>
      <c r="T279" s="17" t="s">
        <v>30</v>
      </c>
      <c r="U279" s="17" t="str">
        <f t="shared" si="236"/>
        <v>Thermal Fault &lt;700c, thermal fault &gt;700c </v>
      </c>
      <c r="V279" s="17" t="str">
        <f>IF(S279&lt;1,"Partial discharge, Normal ",IF(S279&gt;3,"Arching,Thermal  Fault &gt; 700 c"))</f>
        <v>Partial discharge, Normal </v>
      </c>
      <c r="W279" s="17" t="str">
        <f t="shared" si="3"/>
        <v>2.073906486</v>
      </c>
      <c r="X279" s="17" t="str">
        <f t="shared" si="33"/>
        <v>1.876923077</v>
      </c>
      <c r="Y279" s="17" t="str">
        <f t="shared" si="9"/>
        <v>0.06082289803</v>
      </c>
      <c r="Z279" s="17" t="str">
        <f>IF(W279&gt;1,"Discharge of Low Energy,  ",IF(W279&lt;0.1,"Thermal  Fault&gt; 300c and&lt;700 c"))</f>
        <v>Discharge of Low Energy,  </v>
      </c>
      <c r="AA279" s="17" t="str">
        <f t="shared" si="237"/>
        <v>Thermal  Fault &gt;300c and&lt;700 and &gt;700 c</v>
      </c>
      <c r="AB279" s="17" t="str">
        <f t="shared" si="239"/>
        <v>Partial Discharges, </v>
      </c>
      <c r="AC279" s="17" t="str">
        <f t="shared" si="5"/>
        <v>1.876923077</v>
      </c>
      <c r="AD279" s="18" t="str">
        <f t="shared" si="10"/>
        <v>2.073906486</v>
      </c>
      <c r="AE279" s="17" t="str">
        <f t="shared" si="6"/>
        <v>0.3302708221</v>
      </c>
      <c r="AF279" s="17" t="str">
        <f t="shared" si="11"/>
        <v>7.927636364</v>
      </c>
      <c r="AG279" s="17" t="str">
        <f t="shared" si="238"/>
        <v>Thermal Decomposition, </v>
      </c>
      <c r="AH279" s="17" t="str">
        <f t="shared" si="68"/>
        <v>Arching</v>
      </c>
      <c r="AI279" s="17" t="str">
        <f t="shared" si="16"/>
        <v>Arching</v>
      </c>
      <c r="AJ279" s="17" t="str">
        <f t="shared" si="235"/>
        <v>Thermal Decomposition,corona </v>
      </c>
    </row>
    <row r="280" ht="12.75" customHeight="1">
      <c r="A280" s="11">
        <v>278.0</v>
      </c>
      <c r="B280" s="21" t="s">
        <v>305</v>
      </c>
      <c r="C280" s="21" t="s">
        <v>197</v>
      </c>
      <c r="D280" s="21" t="s">
        <v>187</v>
      </c>
      <c r="E280" s="21" t="s">
        <v>106</v>
      </c>
      <c r="F280" s="21">
        <v>1994.0</v>
      </c>
      <c r="G280" s="17">
        <v>8.2</v>
      </c>
      <c r="H280" s="16">
        <v>7.297999999999999</v>
      </c>
      <c r="I280" s="16">
        <v>16124.069999999998</v>
      </c>
      <c r="J280" s="16">
        <v>62488.592</v>
      </c>
      <c r="K280" s="16">
        <v>217.95599999999996</v>
      </c>
      <c r="L280" s="16">
        <v>2306.1679999999997</v>
      </c>
      <c r="M280" s="16">
        <v>6.97</v>
      </c>
      <c r="N280" s="16">
        <v>9.0</v>
      </c>
      <c r="O280" s="16">
        <v>9.0</v>
      </c>
      <c r="P280" s="16">
        <v>8.0</v>
      </c>
      <c r="Q280" s="17" t="str">
        <f t="shared" si="1"/>
        <v>0.8888888889</v>
      </c>
      <c r="R280" s="17" t="str">
        <f t="shared" si="2"/>
        <v>0.9550561798</v>
      </c>
      <c r="S280" s="17" t="str">
        <f t="shared" si="8"/>
        <v>1</v>
      </c>
      <c r="T280" s="17" t="str">
        <f>IF(Q280&lt;1,"Partial discharge,Low Temprature thermal fault,")</f>
        <v>Partial discharge,Low Temprature thermal fault,</v>
      </c>
      <c r="U280" s="17" t="s">
        <v>31</v>
      </c>
      <c r="V280" s="17" t="s">
        <v>37</v>
      </c>
      <c r="W280" s="17" t="str">
        <f t="shared" si="3"/>
        <v>0.8888888889</v>
      </c>
      <c r="X280" s="17" t="str">
        <f t="shared" si="33"/>
        <v>0.9550561798</v>
      </c>
      <c r="Y280" s="17" t="str">
        <f t="shared" si="9"/>
        <v>1</v>
      </c>
      <c r="Z280" s="17" t="s">
        <v>34</v>
      </c>
      <c r="AA280" s="17" t="s">
        <v>34</v>
      </c>
      <c r="AB280" s="17" t="s">
        <v>107</v>
      </c>
      <c r="AC280" s="17" t="str">
        <f t="shared" si="5"/>
        <v>0.9550561798</v>
      </c>
      <c r="AD280" s="18" t="str">
        <f t="shared" si="10"/>
        <v>0.8888888889</v>
      </c>
      <c r="AE280" s="17" t="str">
        <f t="shared" si="6"/>
        <v>1.147776184</v>
      </c>
      <c r="AF280" s="17" t="str">
        <f t="shared" si="11"/>
        <v>1.125</v>
      </c>
      <c r="AG280" s="17" t="s">
        <v>30</v>
      </c>
      <c r="AH280" s="17" t="str">
        <f t="shared" si="68"/>
        <v>Arching</v>
      </c>
      <c r="AI280" s="17" t="str">
        <f t="shared" si="16"/>
        <v>Arching</v>
      </c>
      <c r="AJ280" s="17" t="str">
        <f t="shared" si="235"/>
        <v>Thermal Decomposition,corona </v>
      </c>
    </row>
    <row r="281" ht="12.75" customHeight="1">
      <c r="A281" s="11">
        <v>279.0</v>
      </c>
      <c r="B281" s="21" t="s">
        <v>306</v>
      </c>
      <c r="C281" s="21" t="s">
        <v>197</v>
      </c>
      <c r="D281" s="21" t="s">
        <v>187</v>
      </c>
      <c r="E281" s="21" t="s">
        <v>106</v>
      </c>
      <c r="F281" s="21">
        <v>1997.0</v>
      </c>
      <c r="G281" s="17">
        <v>8.1</v>
      </c>
      <c r="H281" s="16">
        <v>6.885000000000001</v>
      </c>
      <c r="I281" s="16">
        <v>14634.189</v>
      </c>
      <c r="J281" s="16">
        <v>63905.435999999994</v>
      </c>
      <c r="K281" s="16">
        <v>190.43099999999998</v>
      </c>
      <c r="L281" s="16">
        <v>1623.321</v>
      </c>
      <c r="M281" s="16">
        <v>22.842</v>
      </c>
      <c r="N281" s="16">
        <v>5.346</v>
      </c>
      <c r="O281" s="16">
        <v>1.8629999999999998</v>
      </c>
      <c r="P281" s="16">
        <v>5.0</v>
      </c>
      <c r="Q281" s="17" t="str">
        <f t="shared" si="1"/>
        <v>2.683843264</v>
      </c>
      <c r="R281" s="17" t="str">
        <f t="shared" si="2"/>
        <v>3.317647059</v>
      </c>
      <c r="S281" s="17" t="str">
        <f t="shared" si="8"/>
        <v>0.3484848485</v>
      </c>
      <c r="T281" s="17" t="s">
        <v>30</v>
      </c>
      <c r="U281" s="17" t="str">
        <f>IF(R281&gt;1,"Thermal Fault &lt;700c, thermal fault &gt;700c ")</f>
        <v>Thermal Fault &lt;700c, thermal fault &gt;700c </v>
      </c>
      <c r="V281" s="17" t="str">
        <f t="shared" ref="V281:V282" si="240">IF(S281&lt;1,"Partial discharge, Normal ",IF(S281&gt;3,"Arching,Thermal  Fault &gt; 700 c"))</f>
        <v>Partial discharge, Normal </v>
      </c>
      <c r="W281" s="17" t="str">
        <f t="shared" si="3"/>
        <v>2.683843264</v>
      </c>
      <c r="X281" s="17" t="str">
        <f t="shared" si="33"/>
        <v>3.317647059</v>
      </c>
      <c r="Y281" s="17" t="str">
        <f t="shared" si="9"/>
        <v>0.3484848485</v>
      </c>
      <c r="Z281" s="17" t="str">
        <f t="shared" ref="Z281:Z282" si="241">IF(W281&gt;1,"Discharge of Low Energy,  ",IF(W281&lt;0.1,"Thermal  Fault&gt; 300c and&lt;700 c"))</f>
        <v>Discharge of Low Energy,  </v>
      </c>
      <c r="AA281" s="17" t="str">
        <f>IF(X281&lt;0.1,"Partial Discharges, ",IF(X281&gt;1,"Thermal  Fault &gt;300c and&lt;700 and &gt;700 c"))</f>
        <v>Thermal  Fault &gt;300c and&lt;700 and &gt;700 c</v>
      </c>
      <c r="AB281" s="17" t="s">
        <v>107</v>
      </c>
      <c r="AC281" s="17" t="str">
        <f t="shared" si="5"/>
        <v>3.317647059</v>
      </c>
      <c r="AD281" s="18" t="str">
        <f t="shared" si="10"/>
        <v>2.683843264</v>
      </c>
      <c r="AE281" s="17" t="str">
        <f t="shared" si="6"/>
        <v>0.2188950179</v>
      </c>
      <c r="AF281" s="17" t="str">
        <f t="shared" si="11"/>
        <v>1.0692</v>
      </c>
      <c r="AG281" s="17" t="str">
        <f>IF(AC281&gt;1,"Thermal Decomposition, ",IF(AC281&lt;0.1,"Corona,Arching"))</f>
        <v>Thermal Decomposition, </v>
      </c>
      <c r="AH281" s="17" t="str">
        <f t="shared" si="68"/>
        <v>Arching</v>
      </c>
      <c r="AI281" s="17" t="str">
        <f t="shared" si="16"/>
        <v>Thermal Decomposition,corona </v>
      </c>
      <c r="AJ281" s="17" t="str">
        <f t="shared" si="235"/>
        <v>Thermal Decomposition,corona </v>
      </c>
    </row>
    <row r="282" ht="12.75" customHeight="1">
      <c r="A282" s="11">
        <v>280.0</v>
      </c>
      <c r="B282" s="21" t="s">
        <v>307</v>
      </c>
      <c r="C282" s="21" t="s">
        <v>197</v>
      </c>
      <c r="D282" s="21" t="s">
        <v>187</v>
      </c>
      <c r="E282" s="21" t="s">
        <v>106</v>
      </c>
      <c r="F282" s="21">
        <v>1997.0</v>
      </c>
      <c r="G282" s="17">
        <v>8.4</v>
      </c>
      <c r="H282" s="16">
        <v>9.324</v>
      </c>
      <c r="I282" s="16">
        <v>15929.339999999998</v>
      </c>
      <c r="J282" s="16">
        <v>65229.192</v>
      </c>
      <c r="K282" s="16">
        <v>165.06</v>
      </c>
      <c r="L282" s="16">
        <v>1794.0720000000003</v>
      </c>
      <c r="M282" s="16">
        <v>8.568000000000001</v>
      </c>
      <c r="N282" s="16">
        <v>10.0</v>
      </c>
      <c r="O282" s="16">
        <v>1.932</v>
      </c>
      <c r="P282" s="16">
        <v>9.0</v>
      </c>
      <c r="Q282" s="17" t="str">
        <f t="shared" si="1"/>
        <v>4.658385093</v>
      </c>
      <c r="R282" s="17" t="str">
        <f t="shared" si="2"/>
        <v>0.9189189189</v>
      </c>
      <c r="S282" s="17" t="str">
        <f t="shared" si="8"/>
        <v>0.1932</v>
      </c>
      <c r="T282" s="17" t="s">
        <v>30</v>
      </c>
      <c r="U282" s="17" t="str">
        <f>IF(R282&lt;0.1, "Partial discharge", "Low temperature thermal ")</f>
        <v>Low temperature thermal </v>
      </c>
      <c r="V282" s="17" t="str">
        <f t="shared" si="240"/>
        <v>Partial discharge, Normal </v>
      </c>
      <c r="W282" s="17" t="str">
        <f t="shared" si="3"/>
        <v>4.658385093</v>
      </c>
      <c r="X282" s="17" t="str">
        <f t="shared" si="33"/>
        <v>0.9189189189</v>
      </c>
      <c r="Y282" s="17" t="str">
        <f t="shared" si="9"/>
        <v>0.1932</v>
      </c>
      <c r="Z282" s="17" t="str">
        <f t="shared" si="241"/>
        <v>Discharge of Low Energy,  </v>
      </c>
      <c r="AA282" s="17" t="s">
        <v>34</v>
      </c>
      <c r="AB282" s="17" t="str">
        <f t="shared" ref="AB282:AB284" si="242">IF(Y282&lt;0.2,"Partial Discharges, ",IF(Y282&gt;1,"Thermal  Fault  &gt;700 c"))</f>
        <v>Partial Discharges, </v>
      </c>
      <c r="AC282" s="17" t="str">
        <f t="shared" si="5"/>
        <v>0.9189189189</v>
      </c>
      <c r="AD282" s="18" t="str">
        <f t="shared" si="10"/>
        <v>4.658385093</v>
      </c>
      <c r="AE282" s="17" t="str">
        <f t="shared" si="6"/>
        <v>1.050420168</v>
      </c>
      <c r="AF282" s="17" t="str">
        <f t="shared" si="11"/>
        <v>1.111111111</v>
      </c>
      <c r="AG282" s="17" t="s">
        <v>30</v>
      </c>
      <c r="AH282" s="17" t="str">
        <f t="shared" si="68"/>
        <v>Arching</v>
      </c>
      <c r="AI282" s="17" t="str">
        <f t="shared" si="16"/>
        <v>Arching</v>
      </c>
      <c r="AJ282" s="17" t="str">
        <f t="shared" si="235"/>
        <v>Thermal Decomposition,corona </v>
      </c>
    </row>
    <row r="283" ht="12.75" customHeight="1">
      <c r="A283" s="11">
        <v>281.0</v>
      </c>
      <c r="B283" s="21" t="s">
        <v>308</v>
      </c>
      <c r="C283" s="21" t="s">
        <v>197</v>
      </c>
      <c r="D283" s="21" t="s">
        <v>187</v>
      </c>
      <c r="E283" s="21" t="s">
        <v>106</v>
      </c>
      <c r="F283" s="21">
        <v>1997.0</v>
      </c>
      <c r="G283" s="17">
        <v>8.2</v>
      </c>
      <c r="H283" s="16">
        <v>8.118</v>
      </c>
      <c r="I283" s="16">
        <v>16517.752</v>
      </c>
      <c r="J283" s="16">
        <v>62617.24999999999</v>
      </c>
      <c r="K283" s="16">
        <v>180.564</v>
      </c>
      <c r="L283" s="16">
        <v>1938.0700000000002</v>
      </c>
      <c r="M283" s="16">
        <v>19.106</v>
      </c>
      <c r="N283" s="16">
        <v>6.231999999999999</v>
      </c>
      <c r="O283" s="16">
        <v>8.035999999999998</v>
      </c>
      <c r="P283" s="16">
        <v>4.0</v>
      </c>
      <c r="Q283" s="17" t="str">
        <f t="shared" si="1"/>
        <v>0.4977600796</v>
      </c>
      <c r="R283" s="17" t="str">
        <f t="shared" si="2"/>
        <v>2.353535354</v>
      </c>
      <c r="S283" s="17" t="str">
        <f t="shared" si="8"/>
        <v>1.289473684</v>
      </c>
      <c r="T283" s="17" t="str">
        <f t="shared" ref="T283:T284" si="243">IF(Q283&lt;1,"Partial discharge,Low Temprature thermal fault,")</f>
        <v>Partial discharge,Low Temprature thermal fault,</v>
      </c>
      <c r="U283" s="17" t="str">
        <f t="shared" ref="U283:U284" si="244">IF(R283&gt;1,"Thermal Fault &lt;700c, thermal fault &gt;700c ")</f>
        <v>Thermal Fault &lt;700c, thermal fault &gt;700c </v>
      </c>
      <c r="V283" s="17" t="s">
        <v>37</v>
      </c>
      <c r="W283" s="17" t="str">
        <f t="shared" si="3"/>
        <v>0.4977600796</v>
      </c>
      <c r="X283" s="17" t="str">
        <f t="shared" si="33"/>
        <v>2.353535354</v>
      </c>
      <c r="Y283" s="17" t="str">
        <f t="shared" si="9"/>
        <v>1.289473684</v>
      </c>
      <c r="Z283" s="17" t="s">
        <v>34</v>
      </c>
      <c r="AA283" s="17" t="str">
        <f t="shared" ref="AA283:AA284" si="245">IF(X283&lt;0.1,"Partial Discharges, ",IF(X283&gt;1,"Thermal  Fault &gt;300c and&lt;700 and &gt;700 c"))</f>
        <v>Thermal  Fault &gt;300c and&lt;700 and &gt;700 c</v>
      </c>
      <c r="AB283" s="17" t="str">
        <f t="shared" si="242"/>
        <v>Thermal  Fault  &gt;700 c</v>
      </c>
      <c r="AC283" s="17" t="str">
        <f t="shared" si="5"/>
        <v>2.353535354</v>
      </c>
      <c r="AD283" s="18" t="str">
        <f t="shared" si="10"/>
        <v>0.4977600796</v>
      </c>
      <c r="AE283" s="17" t="str">
        <f t="shared" si="6"/>
        <v>0.2093583168</v>
      </c>
      <c r="AF283" s="17" t="str">
        <f t="shared" si="11"/>
        <v>1.558</v>
      </c>
      <c r="AG283" s="17" t="str">
        <f t="shared" ref="AG283:AG284" si="246">IF(AC283&gt;1,"Thermal Decomposition, ",IF(AC283&lt;0.1,"Corona,Arching"))</f>
        <v>Thermal Decomposition, </v>
      </c>
      <c r="AH283" s="17" t="str">
        <f t="shared" si="68"/>
        <v>Thermal Decomposition, </v>
      </c>
      <c r="AI283" s="17" t="str">
        <f t="shared" si="16"/>
        <v>Thermal Decomposition,corona </v>
      </c>
      <c r="AJ283" s="17" t="str">
        <f t="shared" si="235"/>
        <v>Thermal Decomposition,corona </v>
      </c>
    </row>
    <row r="284" ht="12.75" customHeight="1">
      <c r="A284" s="11">
        <v>282.0</v>
      </c>
      <c r="B284" s="21" t="s">
        <v>309</v>
      </c>
      <c r="C284" s="21" t="s">
        <v>78</v>
      </c>
      <c r="D284" s="21" t="s">
        <v>193</v>
      </c>
      <c r="E284" s="21" t="s">
        <v>102</v>
      </c>
      <c r="F284" s="21">
        <v>2007.0</v>
      </c>
      <c r="G284" s="17">
        <v>7.9</v>
      </c>
      <c r="H284" s="16">
        <v>4.977</v>
      </c>
      <c r="I284" s="16">
        <v>15060.165</v>
      </c>
      <c r="J284" s="16">
        <v>60478.05500000001</v>
      </c>
      <c r="K284" s="16">
        <v>220.01500000000001</v>
      </c>
      <c r="L284" s="16">
        <v>2264.377</v>
      </c>
      <c r="M284" s="16">
        <v>5.609000000000001</v>
      </c>
      <c r="N284" s="16">
        <v>6.715</v>
      </c>
      <c r="O284" s="16">
        <v>8.0</v>
      </c>
      <c r="P284" s="16">
        <v>6.0</v>
      </c>
      <c r="Q284" s="17" t="str">
        <f t="shared" si="1"/>
        <v>0.75</v>
      </c>
      <c r="R284" s="17" t="str">
        <f t="shared" si="2"/>
        <v>1.126984127</v>
      </c>
      <c r="S284" s="17" t="str">
        <f t="shared" si="8"/>
        <v>1.191362621</v>
      </c>
      <c r="T284" s="17" t="str">
        <f t="shared" si="243"/>
        <v>Partial discharge,Low Temprature thermal fault,</v>
      </c>
      <c r="U284" s="17" t="str">
        <f t="shared" si="244"/>
        <v>Thermal Fault &lt;700c, thermal fault &gt;700c </v>
      </c>
      <c r="V284" s="17" t="s">
        <v>37</v>
      </c>
      <c r="W284" s="17" t="str">
        <f t="shared" si="3"/>
        <v>0.75</v>
      </c>
      <c r="X284" s="17" t="str">
        <f t="shared" si="33"/>
        <v>1.126984127</v>
      </c>
      <c r="Y284" s="17" t="str">
        <f t="shared" si="9"/>
        <v>1.191362621</v>
      </c>
      <c r="Z284" s="17" t="s">
        <v>34</v>
      </c>
      <c r="AA284" s="17" t="str">
        <f t="shared" si="245"/>
        <v>Thermal  Fault &gt;300c and&lt;700 and &gt;700 c</v>
      </c>
      <c r="AB284" s="17" t="str">
        <f t="shared" si="242"/>
        <v>Thermal  Fault  &gt;700 c</v>
      </c>
      <c r="AC284" s="17" t="str">
        <f t="shared" si="5"/>
        <v>1.126984127</v>
      </c>
      <c r="AD284" s="18" t="str">
        <f t="shared" si="10"/>
        <v>0.75</v>
      </c>
      <c r="AE284" s="17" t="str">
        <f t="shared" si="6"/>
        <v>1.069709396</v>
      </c>
      <c r="AF284" s="17" t="str">
        <f t="shared" si="11"/>
        <v>1.119166667</v>
      </c>
      <c r="AG284" s="17" t="str">
        <f t="shared" si="246"/>
        <v>Thermal Decomposition, </v>
      </c>
      <c r="AH284" s="17" t="s">
        <v>30</v>
      </c>
      <c r="AI284" s="17" t="str">
        <f t="shared" si="16"/>
        <v>Arching</v>
      </c>
      <c r="AJ284" s="17" t="str">
        <f t="shared" si="235"/>
        <v>Thermal Decomposition,corona </v>
      </c>
    </row>
    <row r="285" ht="12.75" customHeight="1">
      <c r="A285" s="11">
        <v>283.0</v>
      </c>
      <c r="B285" s="21" t="s">
        <v>310</v>
      </c>
      <c r="C285" s="21" t="s">
        <v>78</v>
      </c>
      <c r="D285" s="21" t="s">
        <v>193</v>
      </c>
      <c r="E285" s="21" t="s">
        <v>102</v>
      </c>
      <c r="F285" s="21">
        <v>2007.0</v>
      </c>
      <c r="G285" s="17">
        <v>8.2</v>
      </c>
      <c r="H285" s="16">
        <v>4.263999999999999</v>
      </c>
      <c r="I285" s="16">
        <v>16143.668</v>
      </c>
      <c r="J285" s="16">
        <v>62772.88599999999</v>
      </c>
      <c r="K285" s="16">
        <v>191.46999999999997</v>
      </c>
      <c r="L285" s="16">
        <v>1683.9519999999998</v>
      </c>
      <c r="M285" s="16">
        <v>4.263999999999999</v>
      </c>
      <c r="N285" s="16">
        <v>9.0</v>
      </c>
      <c r="O285" s="16">
        <v>6.0</v>
      </c>
      <c r="P285" s="16">
        <v>8.0</v>
      </c>
      <c r="Q285" s="17" t="str">
        <f t="shared" si="1"/>
        <v>1.333333333</v>
      </c>
      <c r="R285" s="17" t="str">
        <f t="shared" si="2"/>
        <v>1</v>
      </c>
      <c r="S285" s="17" t="str">
        <f t="shared" si="8"/>
        <v>0.6666666667</v>
      </c>
      <c r="T285" s="17" t="s">
        <v>30</v>
      </c>
      <c r="U285" s="17" t="s">
        <v>31</v>
      </c>
      <c r="V285" s="17" t="str">
        <f>IF(S285&lt;1,"Partial discharge, Normal ",IF(S285&gt;3,"Arching,Thermal  Fault &gt; 700 c"))</f>
        <v>Partial discharge, Normal </v>
      </c>
      <c r="W285" s="17" t="str">
        <f t="shared" si="3"/>
        <v>1.333333333</v>
      </c>
      <c r="X285" s="17" t="str">
        <f t="shared" si="33"/>
        <v>1</v>
      </c>
      <c r="Y285" s="17" t="str">
        <f t="shared" si="9"/>
        <v>0.6666666667</v>
      </c>
      <c r="Z285" s="17" t="str">
        <f>IF(W285&gt;1,"Discharge of Low Energy,  ",IF(W285&lt;0.1,"Thermal  Fault&gt; 300c and&lt;700 c"))</f>
        <v>Discharge of Low Energy,  </v>
      </c>
      <c r="AA285" s="17" t="s">
        <v>34</v>
      </c>
      <c r="AB285" s="17" t="s">
        <v>107</v>
      </c>
      <c r="AC285" s="17" t="str">
        <f t="shared" si="5"/>
        <v>1</v>
      </c>
      <c r="AD285" s="18" t="str">
        <f t="shared" si="10"/>
        <v>1.333333333</v>
      </c>
      <c r="AE285" s="17" t="str">
        <f t="shared" si="6"/>
        <v>1.876172608</v>
      </c>
      <c r="AF285" s="17" t="str">
        <f t="shared" si="11"/>
        <v>1.125</v>
      </c>
      <c r="AG285" s="17" t="s">
        <v>30</v>
      </c>
      <c r="AH285" s="17" t="str">
        <f t="shared" ref="AH285:AH335" si="247">IF(AD285&lt;0.75,"Thermal Decomposition, ",IF(AD285&gt;0.75,"Arching"))</f>
        <v>Arching</v>
      </c>
      <c r="AI285" s="17" t="str">
        <f t="shared" si="16"/>
        <v>Arching</v>
      </c>
      <c r="AJ285" s="17" t="str">
        <f t="shared" si="235"/>
        <v>Thermal Decomposition,corona </v>
      </c>
    </row>
    <row r="286" ht="12.75" customHeight="1">
      <c r="A286" s="11">
        <v>284.0</v>
      </c>
      <c r="B286" s="21" t="s">
        <v>311</v>
      </c>
      <c r="C286" s="21" t="s">
        <v>197</v>
      </c>
      <c r="D286" s="21" t="s">
        <v>187</v>
      </c>
      <c r="E286" s="21" t="s">
        <v>106</v>
      </c>
      <c r="F286" s="21">
        <v>1994.0</v>
      </c>
      <c r="G286" s="17">
        <v>7.9</v>
      </c>
      <c r="H286" s="16">
        <v>4.424</v>
      </c>
      <c r="I286" s="16">
        <v>15038.124</v>
      </c>
      <c r="J286" s="16">
        <v>61347.687</v>
      </c>
      <c r="K286" s="16">
        <v>121.34399999999998</v>
      </c>
      <c r="L286" s="16">
        <v>1308.7140000000002</v>
      </c>
      <c r="M286" s="16">
        <v>3.318</v>
      </c>
      <c r="N286" s="16">
        <v>6.0</v>
      </c>
      <c r="O286" s="17">
        <v>9.0</v>
      </c>
      <c r="P286" s="16">
        <v>6.0</v>
      </c>
      <c r="Q286" s="17" t="str">
        <f t="shared" si="1"/>
        <v>0.6666666667</v>
      </c>
      <c r="R286" s="17" t="str">
        <f t="shared" si="2"/>
        <v>0.75</v>
      </c>
      <c r="S286" s="17" t="str">
        <f t="shared" si="8"/>
        <v>1.5</v>
      </c>
      <c r="T286" s="17" t="str">
        <f>IF(Q286&lt;1,"Partial discharge,Low Temprature thermal fault,")</f>
        <v>Partial discharge,Low Temprature thermal fault,</v>
      </c>
      <c r="U286" s="17" t="s">
        <v>31</v>
      </c>
      <c r="V286" s="17" t="s">
        <v>37</v>
      </c>
      <c r="W286" s="17" t="str">
        <f t="shared" si="3"/>
        <v>0.6666666667</v>
      </c>
      <c r="X286" s="17" t="str">
        <f t="shared" si="33"/>
        <v>0.75</v>
      </c>
      <c r="Y286" s="17" t="str">
        <f t="shared" si="9"/>
        <v>1.5</v>
      </c>
      <c r="Z286" s="17" t="s">
        <v>34</v>
      </c>
      <c r="AA286" s="17" t="s">
        <v>34</v>
      </c>
      <c r="AB286" s="17" t="str">
        <f>IF(Y286&lt;0.2,"Partial Discharges, ",IF(Y286&gt;1,"Thermal  Fault  &gt;700 c"))</f>
        <v>Thermal  Fault  &gt;700 c</v>
      </c>
      <c r="AC286" s="17" t="str">
        <f t="shared" si="5"/>
        <v>0.75</v>
      </c>
      <c r="AD286" s="18" t="str">
        <f t="shared" si="10"/>
        <v>0.6666666667</v>
      </c>
      <c r="AE286" s="17" t="str">
        <f t="shared" si="6"/>
        <v>1.808318264</v>
      </c>
      <c r="AF286" s="17" t="str">
        <f t="shared" si="11"/>
        <v>1</v>
      </c>
      <c r="AG286" s="17" t="s">
        <v>30</v>
      </c>
      <c r="AH286" s="17" t="str">
        <f t="shared" si="247"/>
        <v>Thermal Decomposition, </v>
      </c>
      <c r="AI286" s="17" t="str">
        <f t="shared" si="16"/>
        <v>Arching</v>
      </c>
      <c r="AJ286" s="17" t="str">
        <f t="shared" si="235"/>
        <v>Thermal Decomposition,corona </v>
      </c>
    </row>
    <row r="287" ht="12.75" customHeight="1">
      <c r="A287" s="11">
        <v>285.0</v>
      </c>
      <c r="B287" s="21" t="s">
        <v>312</v>
      </c>
      <c r="C287" s="21" t="s">
        <v>27</v>
      </c>
      <c r="D287" s="21" t="s">
        <v>313</v>
      </c>
      <c r="E287" s="21" t="s">
        <v>91</v>
      </c>
      <c r="F287" s="21" t="s">
        <v>314</v>
      </c>
      <c r="G287" s="17">
        <v>8.1</v>
      </c>
      <c r="H287" s="16">
        <v>6.966</v>
      </c>
      <c r="I287" s="16">
        <v>15031.088999999996</v>
      </c>
      <c r="J287" s="16">
        <v>63692.325</v>
      </c>
      <c r="K287" s="16">
        <v>115.42499999999998</v>
      </c>
      <c r="L287" s="16">
        <v>1298.025</v>
      </c>
      <c r="M287" s="16">
        <v>1.8629999999999998</v>
      </c>
      <c r="N287" s="16">
        <v>10.0</v>
      </c>
      <c r="O287" s="17">
        <v>5.0</v>
      </c>
      <c r="P287" s="17">
        <v>9.0</v>
      </c>
      <c r="Q287" s="17" t="str">
        <f t="shared" si="1"/>
        <v>1.8</v>
      </c>
      <c r="R287" s="17" t="str">
        <f t="shared" si="2"/>
        <v>0.2674418605</v>
      </c>
      <c r="S287" s="17" t="str">
        <f t="shared" si="8"/>
        <v>0.5</v>
      </c>
      <c r="T287" s="17" t="s">
        <v>30</v>
      </c>
      <c r="U287" s="17" t="s">
        <v>31</v>
      </c>
      <c r="V287" s="17" t="str">
        <f>IF(S287&lt;1,"Partial discharge, Normal ",IF(S287&gt;3,"Arching,Thermal  Fault &gt; 700 c"))</f>
        <v>Partial discharge, Normal </v>
      </c>
      <c r="W287" s="17" t="str">
        <f t="shared" si="3"/>
        <v>1.8</v>
      </c>
      <c r="X287" s="17" t="str">
        <f t="shared" si="33"/>
        <v>0.2674418605</v>
      </c>
      <c r="Y287" s="17" t="str">
        <f t="shared" si="9"/>
        <v>0.5</v>
      </c>
      <c r="Z287" s="17" t="str">
        <f>IF(W287&gt;1,"Discharge of Low Energy,  ",IF(W287&lt;0.1,"Thermal  Fault&gt; 300c and&lt;700 c"))</f>
        <v>Discharge of Low Energy,  </v>
      </c>
      <c r="AA287" s="17" t="s">
        <v>34</v>
      </c>
      <c r="AB287" s="17" t="s">
        <v>107</v>
      </c>
      <c r="AC287" s="17" t="str">
        <f t="shared" si="5"/>
        <v>0.2674418605</v>
      </c>
      <c r="AD287" s="18" t="str">
        <f t="shared" si="10"/>
        <v>1.8</v>
      </c>
      <c r="AE287" s="17" t="str">
        <f t="shared" si="6"/>
        <v>4.830917874</v>
      </c>
      <c r="AF287" s="17" t="str">
        <f t="shared" si="11"/>
        <v>1.111111111</v>
      </c>
      <c r="AG287" s="17" t="s">
        <v>30</v>
      </c>
      <c r="AH287" s="17" t="str">
        <f t="shared" si="247"/>
        <v>Arching</v>
      </c>
      <c r="AI287" s="17" t="str">
        <f t="shared" si="16"/>
        <v>Arching</v>
      </c>
      <c r="AJ287" s="17" t="str">
        <f t="shared" si="235"/>
        <v>Thermal Decomposition,corona </v>
      </c>
    </row>
    <row r="288" ht="12.75" customHeight="1">
      <c r="A288" s="11">
        <v>286.0</v>
      </c>
      <c r="B288" s="21" t="s">
        <v>315</v>
      </c>
      <c r="C288" s="21" t="s">
        <v>27</v>
      </c>
      <c r="D288" s="21" t="s">
        <v>313</v>
      </c>
      <c r="E288" s="21" t="s">
        <v>91</v>
      </c>
      <c r="F288" s="21" t="s">
        <v>314</v>
      </c>
      <c r="G288" s="17">
        <v>8.3</v>
      </c>
      <c r="H288" s="16">
        <v>10.043000000000001</v>
      </c>
      <c r="I288" s="16">
        <v>16297.714000000002</v>
      </c>
      <c r="J288" s="16">
        <v>64825.07500000001</v>
      </c>
      <c r="K288" s="16">
        <v>102.505</v>
      </c>
      <c r="L288" s="16">
        <v>1136.1870000000001</v>
      </c>
      <c r="M288" s="16">
        <v>21.248000000000005</v>
      </c>
      <c r="N288" s="16">
        <v>7.968</v>
      </c>
      <c r="O288" s="16">
        <v>12.948</v>
      </c>
      <c r="P288" s="17">
        <v>5.0</v>
      </c>
      <c r="Q288" s="17" t="str">
        <f t="shared" si="1"/>
        <v>0.3861600247</v>
      </c>
      <c r="R288" s="17" t="str">
        <f t="shared" si="2"/>
        <v>2.115702479</v>
      </c>
      <c r="S288" s="17" t="str">
        <f t="shared" si="8"/>
        <v>1.625</v>
      </c>
      <c r="T288" s="17" t="str">
        <f t="shared" ref="T288:T289" si="248">IF(Q288&lt;1,"Partial discharge,Low Temprature thermal fault,")</f>
        <v>Partial discharge,Low Temprature thermal fault,</v>
      </c>
      <c r="U288" s="17" t="str">
        <f t="shared" ref="U288:U289" si="249">IF(R288&gt;1,"Thermal Fault &lt;700c, thermal fault &gt;700c ")</f>
        <v>Thermal Fault &lt;700c, thermal fault &gt;700c </v>
      </c>
      <c r="V288" s="17" t="s">
        <v>37</v>
      </c>
      <c r="W288" s="17" t="str">
        <f t="shared" si="3"/>
        <v>0.3861600247</v>
      </c>
      <c r="X288" s="17" t="str">
        <f t="shared" si="33"/>
        <v>2.115702479</v>
      </c>
      <c r="Y288" s="17" t="str">
        <f t="shared" si="9"/>
        <v>1.625</v>
      </c>
      <c r="Z288" s="17" t="s">
        <v>34</v>
      </c>
      <c r="AA288" s="17" t="str">
        <f t="shared" ref="AA288:AA289" si="250">IF(X288&lt;0.1,"Partial Discharges, ",IF(X288&gt;1,"Thermal  Fault &gt;300c and&lt;700 and &gt;700 c"))</f>
        <v>Thermal  Fault &gt;300c and&lt;700 and &gt;700 c</v>
      </c>
      <c r="AB288" s="17" t="str">
        <f t="shared" ref="AB288:AB289" si="251">IF(Y288&lt;0.2,"Partial Discharges, ",IF(Y288&gt;1,"Thermal  Fault  &gt;700 c"))</f>
        <v>Thermal  Fault  &gt;700 c</v>
      </c>
      <c r="AC288" s="17" t="str">
        <f t="shared" si="5"/>
        <v>2.115702479</v>
      </c>
      <c r="AD288" s="18" t="str">
        <f t="shared" si="10"/>
        <v>0.3861600247</v>
      </c>
      <c r="AE288" s="17" t="str">
        <f t="shared" si="6"/>
        <v>0.2353162651</v>
      </c>
      <c r="AF288" s="17" t="str">
        <f t="shared" si="11"/>
        <v>1.5936</v>
      </c>
      <c r="AG288" s="17" t="str">
        <f t="shared" ref="AG288:AG289" si="252">IF(AC288&gt;1,"Thermal Decomposition, ",IF(AC288&lt;0.1,"Corona,Arching"))</f>
        <v>Thermal Decomposition, </v>
      </c>
      <c r="AH288" s="17" t="str">
        <f t="shared" si="247"/>
        <v>Thermal Decomposition, </v>
      </c>
      <c r="AI288" s="17" t="str">
        <f t="shared" si="16"/>
        <v>Thermal Decomposition,corona </v>
      </c>
      <c r="AJ288" s="17" t="str">
        <f t="shared" si="235"/>
        <v>Thermal Decomposition,corona </v>
      </c>
    </row>
    <row r="289" ht="12.75" customHeight="1">
      <c r="A289" s="11">
        <v>287.0</v>
      </c>
      <c r="B289" s="21" t="s">
        <v>316</v>
      </c>
      <c r="C289" s="21" t="s">
        <v>99</v>
      </c>
      <c r="D289" s="21" t="s">
        <v>187</v>
      </c>
      <c r="E289" s="21" t="s">
        <v>317</v>
      </c>
      <c r="F289" s="21">
        <v>2012.0</v>
      </c>
      <c r="G289" s="17">
        <v>7.6</v>
      </c>
      <c r="H289" s="16">
        <v>8.436</v>
      </c>
      <c r="I289" s="16">
        <v>14872.667999999998</v>
      </c>
      <c r="J289" s="16">
        <v>58148.892</v>
      </c>
      <c r="K289" s="16">
        <v>177.308</v>
      </c>
      <c r="L289" s="16">
        <v>2062.792</v>
      </c>
      <c r="M289" s="16">
        <v>44.687999999999995</v>
      </c>
      <c r="N289" s="16">
        <v>8.283999999999999</v>
      </c>
      <c r="O289" s="16">
        <v>30.855999999999995</v>
      </c>
      <c r="P289" s="17">
        <v>8.0</v>
      </c>
      <c r="Q289" s="17" t="str">
        <f t="shared" si="1"/>
        <v>0.2592688618</v>
      </c>
      <c r="R289" s="17" t="str">
        <f t="shared" si="2"/>
        <v>5.297297297</v>
      </c>
      <c r="S289" s="17" t="str">
        <f t="shared" si="8"/>
        <v>3.724770642</v>
      </c>
      <c r="T289" s="17" t="str">
        <f t="shared" si="248"/>
        <v>Partial discharge,Low Temprature thermal fault,</v>
      </c>
      <c r="U289" s="17" t="str">
        <f t="shared" si="249"/>
        <v>Thermal Fault &lt;700c, thermal fault &gt;700c </v>
      </c>
      <c r="V289" s="17" t="str">
        <f>IF(S289&lt;1,"Partial discharge, Normal ",IF(S289&gt;3,"Arching,Thermal  Fault &gt; 700 c"))</f>
        <v>Arching,Thermal  Fault &gt; 700 c</v>
      </c>
      <c r="W289" s="17" t="str">
        <f t="shared" si="3"/>
        <v>0.2592688618</v>
      </c>
      <c r="X289" s="17" t="str">
        <f t="shared" si="33"/>
        <v>5.297297297</v>
      </c>
      <c r="Y289" s="17" t="str">
        <f t="shared" si="9"/>
        <v>3.724770642</v>
      </c>
      <c r="Z289" s="17" t="s">
        <v>34</v>
      </c>
      <c r="AA289" s="17" t="str">
        <f t="shared" si="250"/>
        <v>Thermal  Fault &gt;300c and&lt;700 and &gt;700 c</v>
      </c>
      <c r="AB289" s="17" t="str">
        <f t="shared" si="251"/>
        <v>Thermal  Fault  &gt;700 c</v>
      </c>
      <c r="AC289" s="17" t="str">
        <f t="shared" si="5"/>
        <v>5.297297297</v>
      </c>
      <c r="AD289" s="18" t="str">
        <f t="shared" si="10"/>
        <v>0.2592688618</v>
      </c>
      <c r="AE289" s="17" t="str">
        <f t="shared" si="6"/>
        <v>0.179018976</v>
      </c>
      <c r="AF289" s="17" t="str">
        <f t="shared" si="11"/>
        <v>1.0355</v>
      </c>
      <c r="AG289" s="17" t="str">
        <f t="shared" si="252"/>
        <v>Thermal Decomposition, </v>
      </c>
      <c r="AH289" s="17" t="str">
        <f t="shared" si="247"/>
        <v>Thermal Decomposition, </v>
      </c>
      <c r="AI289" s="17" t="str">
        <f t="shared" si="16"/>
        <v>Thermal Decomposition,corona </v>
      </c>
      <c r="AJ289" s="17" t="str">
        <f t="shared" si="235"/>
        <v>Thermal Decomposition,corona </v>
      </c>
    </row>
    <row r="290" ht="12.75" customHeight="1">
      <c r="A290" s="11">
        <v>288.0</v>
      </c>
      <c r="B290" s="21" t="s">
        <v>318</v>
      </c>
      <c r="C290" s="21" t="s">
        <v>99</v>
      </c>
      <c r="D290" s="21" t="s">
        <v>187</v>
      </c>
      <c r="E290" s="21" t="s">
        <v>317</v>
      </c>
      <c r="F290" s="21">
        <v>2012.0</v>
      </c>
      <c r="G290" s="17">
        <v>7.9</v>
      </c>
      <c r="H290" s="16">
        <v>6.952000000000001</v>
      </c>
      <c r="I290" s="16">
        <v>15915.577000000001</v>
      </c>
      <c r="J290" s="16">
        <v>60307.731</v>
      </c>
      <c r="K290" s="16">
        <v>171.82500000000002</v>
      </c>
      <c r="L290" s="16">
        <v>1750.3239999999998</v>
      </c>
      <c r="M290" s="16">
        <v>5.4510000000000005</v>
      </c>
      <c r="N290" s="16">
        <v>9.0</v>
      </c>
      <c r="O290" s="16">
        <v>9.0</v>
      </c>
      <c r="P290" s="17">
        <v>9.0</v>
      </c>
      <c r="Q290" s="17" t="str">
        <f t="shared" si="1"/>
        <v>1</v>
      </c>
      <c r="R290" s="17" t="str">
        <f t="shared" si="2"/>
        <v>0.7840909091</v>
      </c>
      <c r="S290" s="17" t="str">
        <f t="shared" si="8"/>
        <v>1</v>
      </c>
      <c r="T290" s="17" t="s">
        <v>30</v>
      </c>
      <c r="U290" s="17" t="s">
        <v>31</v>
      </c>
      <c r="V290" s="17" t="s">
        <v>37</v>
      </c>
      <c r="W290" s="17" t="str">
        <f t="shared" si="3"/>
        <v>1</v>
      </c>
      <c r="X290" s="17" t="str">
        <f t="shared" si="33"/>
        <v>0.7840909091</v>
      </c>
      <c r="Y290" s="17" t="str">
        <f t="shared" si="9"/>
        <v>1</v>
      </c>
      <c r="Z290" s="17" t="s">
        <v>34</v>
      </c>
      <c r="AA290" s="17" t="s">
        <v>34</v>
      </c>
      <c r="AB290" s="17" t="s">
        <v>107</v>
      </c>
      <c r="AC290" s="17" t="str">
        <f t="shared" si="5"/>
        <v>0.7840909091</v>
      </c>
      <c r="AD290" s="18" t="str">
        <f t="shared" si="10"/>
        <v>1</v>
      </c>
      <c r="AE290" s="17" t="str">
        <f t="shared" si="6"/>
        <v>1.651073198</v>
      </c>
      <c r="AF290" s="17" t="str">
        <f t="shared" si="11"/>
        <v>1</v>
      </c>
      <c r="AG290" s="17" t="s">
        <v>30</v>
      </c>
      <c r="AH290" s="17" t="str">
        <f t="shared" si="247"/>
        <v>Arching</v>
      </c>
      <c r="AI290" s="17" t="str">
        <f t="shared" si="16"/>
        <v>Arching</v>
      </c>
      <c r="AJ290" s="17" t="str">
        <f t="shared" si="235"/>
        <v>Thermal Decomposition,corona </v>
      </c>
    </row>
    <row r="291" ht="12.75" customHeight="1">
      <c r="A291" s="11">
        <v>289.0</v>
      </c>
      <c r="B291" s="21" t="s">
        <v>319</v>
      </c>
      <c r="C291" s="21" t="s">
        <v>294</v>
      </c>
      <c r="D291" s="21" t="s">
        <v>313</v>
      </c>
      <c r="E291" s="21" t="s">
        <v>102</v>
      </c>
      <c r="F291" s="21">
        <v>2014.0</v>
      </c>
      <c r="G291" s="17">
        <v>8.2</v>
      </c>
      <c r="H291" s="16">
        <v>10.496</v>
      </c>
      <c r="I291" s="16">
        <v>16014.764</v>
      </c>
      <c r="J291" s="16">
        <v>62778.297999999995</v>
      </c>
      <c r="K291" s="16">
        <v>185.56599999999997</v>
      </c>
      <c r="L291" s="16">
        <v>1940.5299999999997</v>
      </c>
      <c r="M291" s="16">
        <v>16.563999999999997</v>
      </c>
      <c r="N291" s="16">
        <v>5.575999999999999</v>
      </c>
      <c r="O291" s="16">
        <v>4.592</v>
      </c>
      <c r="P291" s="17">
        <v>6.0</v>
      </c>
      <c r="Q291" s="17" t="str">
        <f t="shared" si="1"/>
        <v>1.306620209</v>
      </c>
      <c r="R291" s="17" t="str">
        <f t="shared" si="2"/>
        <v>1.578125</v>
      </c>
      <c r="S291" s="17" t="str">
        <f t="shared" si="8"/>
        <v>0.8235294118</v>
      </c>
      <c r="T291" s="17" t="s">
        <v>30</v>
      </c>
      <c r="U291" s="17" t="str">
        <f t="shared" ref="U291:U292" si="253">IF(R291&gt;1,"Thermal Fault &lt;700c, thermal fault &gt;700c ")</f>
        <v>Thermal Fault &lt;700c, thermal fault &gt;700c </v>
      </c>
      <c r="V291" s="17" t="str">
        <f t="shared" ref="V291:V294" si="254">IF(S291&lt;1,"Partial discharge, Normal ",IF(S291&gt;3,"Arching,Thermal  Fault &gt; 700 c"))</f>
        <v>Partial discharge, Normal </v>
      </c>
      <c r="W291" s="17" t="str">
        <f t="shared" si="3"/>
        <v>1.306620209</v>
      </c>
      <c r="X291" s="17" t="str">
        <f t="shared" si="33"/>
        <v>1.578125</v>
      </c>
      <c r="Y291" s="17" t="str">
        <f t="shared" si="9"/>
        <v>0.8235294118</v>
      </c>
      <c r="Z291" s="17" t="str">
        <f t="shared" ref="Z291:Z294" si="255">IF(W291&gt;1,"Discharge of Low Energy,  ",IF(W291&lt;0.1,"Thermal  Fault&gt; 300c and&lt;700 c"))</f>
        <v>Discharge of Low Energy,  </v>
      </c>
      <c r="AA291" s="17" t="str">
        <f t="shared" ref="AA291:AA292" si="256">IF(X291&lt;0.1,"Partial Discharges, ",IF(X291&gt;1,"Thermal  Fault &gt;300c and&lt;700 and &gt;700 c"))</f>
        <v>Thermal  Fault &gt;300c and&lt;700 and &gt;700 c</v>
      </c>
      <c r="AB291" s="17" t="s">
        <v>107</v>
      </c>
      <c r="AC291" s="17" t="str">
        <f t="shared" si="5"/>
        <v>1.578125</v>
      </c>
      <c r="AD291" s="18" t="str">
        <f t="shared" si="10"/>
        <v>1.306620209</v>
      </c>
      <c r="AE291" s="17" t="str">
        <f t="shared" si="6"/>
        <v>0.3622313451</v>
      </c>
      <c r="AF291" s="17" t="str">
        <f t="shared" si="11"/>
        <v>0.9293333333</v>
      </c>
      <c r="AG291" s="17" t="str">
        <f t="shared" ref="AG291:AG292" si="257">IF(AC291&gt;1,"Thermal Decomposition, ",IF(AC291&lt;0.1,"Corona,Arching"))</f>
        <v>Thermal Decomposition, </v>
      </c>
      <c r="AH291" s="17" t="str">
        <f t="shared" si="247"/>
        <v>Arching</v>
      </c>
      <c r="AI291" s="17" t="str">
        <f t="shared" si="16"/>
        <v>Arching</v>
      </c>
      <c r="AJ291" s="17" t="str">
        <f t="shared" si="235"/>
        <v>Thermal Decomposition,corona </v>
      </c>
    </row>
    <row r="292" ht="12.75" customHeight="1">
      <c r="A292" s="11">
        <v>290.0</v>
      </c>
      <c r="B292" s="13">
        <v>6007245.0</v>
      </c>
      <c r="C292" s="13" t="s">
        <v>320</v>
      </c>
      <c r="D292" s="13" t="s">
        <v>321</v>
      </c>
      <c r="E292" s="13" t="s">
        <v>91</v>
      </c>
      <c r="F292" s="13">
        <v>2016.0</v>
      </c>
      <c r="G292" s="14">
        <v>7.9</v>
      </c>
      <c r="H292" s="15">
        <v>1.8170000000000002</v>
      </c>
      <c r="I292" s="15">
        <v>15162.786</v>
      </c>
      <c r="J292" s="15">
        <v>62022.189000000006</v>
      </c>
      <c r="K292" s="15">
        <v>60.514</v>
      </c>
      <c r="L292" s="15">
        <v>625.2850000000001</v>
      </c>
      <c r="M292" s="15">
        <v>2.5280000000000005</v>
      </c>
      <c r="N292" s="15">
        <v>9.0</v>
      </c>
      <c r="O292" s="15">
        <v>1.2149999999999999</v>
      </c>
      <c r="P292" s="17">
        <v>8.0</v>
      </c>
      <c r="Q292" s="17" t="str">
        <f t="shared" si="1"/>
        <v>6.58436214</v>
      </c>
      <c r="R292" s="17" t="str">
        <f t="shared" si="2"/>
        <v>1.391304348</v>
      </c>
      <c r="S292" s="17" t="str">
        <f t="shared" si="8"/>
        <v>0.135</v>
      </c>
      <c r="T292" s="17" t="s">
        <v>30</v>
      </c>
      <c r="U292" s="17" t="str">
        <f t="shared" si="253"/>
        <v>Thermal Fault &lt;700c, thermal fault &gt;700c </v>
      </c>
      <c r="V292" s="17" t="str">
        <f t="shared" si="254"/>
        <v>Partial discharge, Normal </v>
      </c>
      <c r="W292" s="17" t="str">
        <f t="shared" si="3"/>
        <v>6.58436214</v>
      </c>
      <c r="X292" s="17" t="str">
        <f t="shared" si="33"/>
        <v>1.391304348</v>
      </c>
      <c r="Y292" s="17" t="str">
        <f t="shared" si="9"/>
        <v>0.135</v>
      </c>
      <c r="Z292" s="17" t="str">
        <f t="shared" si="255"/>
        <v>Discharge of Low Energy,  </v>
      </c>
      <c r="AA292" s="17" t="str">
        <f t="shared" si="256"/>
        <v>Thermal  Fault &gt;300c and&lt;700 and &gt;700 c</v>
      </c>
      <c r="AB292" s="17" t="str">
        <f>IF(Y292&lt;0.2,"Partial Discharges, ",IF(Y292&gt;1,"Thermal  Fault  &gt;700 c"))</f>
        <v>Partial Discharges, </v>
      </c>
      <c r="AC292" s="17" t="str">
        <f t="shared" si="5"/>
        <v>1.391304348</v>
      </c>
      <c r="AD292" s="18" t="str">
        <f t="shared" si="10"/>
        <v>6.58436214</v>
      </c>
      <c r="AE292" s="17" t="str">
        <f t="shared" si="6"/>
        <v>3.164556962</v>
      </c>
      <c r="AF292" s="17" t="str">
        <f t="shared" si="11"/>
        <v>1.125</v>
      </c>
      <c r="AG292" s="17" t="str">
        <f t="shared" si="257"/>
        <v>Thermal Decomposition, </v>
      </c>
      <c r="AH292" s="17" t="str">
        <f t="shared" si="247"/>
        <v>Arching</v>
      </c>
      <c r="AI292" s="17" t="str">
        <f t="shared" si="16"/>
        <v>Arching</v>
      </c>
      <c r="AJ292" s="17" t="str">
        <f t="shared" si="235"/>
        <v>Thermal Decomposition,corona </v>
      </c>
    </row>
    <row r="293" ht="12.75" customHeight="1">
      <c r="A293" s="11">
        <v>291.0</v>
      </c>
      <c r="B293" s="21">
        <v>6007246.0</v>
      </c>
      <c r="C293" s="13" t="s">
        <v>320</v>
      </c>
      <c r="D293" s="13" t="s">
        <v>321</v>
      </c>
      <c r="E293" s="13" t="s">
        <v>91</v>
      </c>
      <c r="F293" s="21">
        <v>2016.0</v>
      </c>
      <c r="G293" s="17">
        <v>8.1</v>
      </c>
      <c r="H293" s="16">
        <v>1.944</v>
      </c>
      <c r="I293" s="16">
        <v>16388.325</v>
      </c>
      <c r="J293" s="16">
        <v>63074.21399999999</v>
      </c>
      <c r="K293" s="16">
        <v>72.576</v>
      </c>
      <c r="L293" s="16">
        <v>746.334</v>
      </c>
      <c r="M293" s="15">
        <v>1.2149999999999999</v>
      </c>
      <c r="N293" s="16">
        <v>7.0</v>
      </c>
      <c r="O293" s="16">
        <v>2.8049999999999997</v>
      </c>
      <c r="P293" s="17">
        <v>4.0</v>
      </c>
      <c r="Q293" s="17" t="str">
        <f t="shared" si="1"/>
        <v>1.426024955</v>
      </c>
      <c r="R293" s="17" t="str">
        <f t="shared" si="2"/>
        <v>0.625</v>
      </c>
      <c r="S293" s="17" t="str">
        <f t="shared" si="8"/>
        <v>0.4007142857</v>
      </c>
      <c r="T293" s="17" t="s">
        <v>30</v>
      </c>
      <c r="U293" s="17" t="s">
        <v>31</v>
      </c>
      <c r="V293" s="17" t="str">
        <f t="shared" si="254"/>
        <v>Partial discharge, Normal </v>
      </c>
      <c r="W293" s="17" t="str">
        <f t="shared" si="3"/>
        <v>1.426024955</v>
      </c>
      <c r="X293" s="17" t="str">
        <f t="shared" si="33"/>
        <v>0.625</v>
      </c>
      <c r="Y293" s="17" t="str">
        <f t="shared" si="9"/>
        <v>0.4007142857</v>
      </c>
      <c r="Z293" s="17" t="str">
        <f t="shared" si="255"/>
        <v>Discharge of Low Energy,  </v>
      </c>
      <c r="AA293" s="17" t="s">
        <v>34</v>
      </c>
      <c r="AB293" s="17" t="s">
        <v>107</v>
      </c>
      <c r="AC293" s="17" t="str">
        <f t="shared" si="5"/>
        <v>0.625</v>
      </c>
      <c r="AD293" s="18" t="str">
        <f t="shared" si="10"/>
        <v>1.426024955</v>
      </c>
      <c r="AE293" s="17" t="str">
        <f t="shared" si="6"/>
        <v>3.29218107</v>
      </c>
      <c r="AF293" s="17" t="str">
        <f t="shared" si="11"/>
        <v>1.75</v>
      </c>
      <c r="AG293" s="17" t="s">
        <v>30</v>
      </c>
      <c r="AH293" s="17" t="str">
        <f t="shared" si="247"/>
        <v>Arching</v>
      </c>
      <c r="AI293" s="17" t="str">
        <f t="shared" si="16"/>
        <v>Arching</v>
      </c>
      <c r="AJ293" s="17" t="str">
        <f t="shared" si="235"/>
        <v>Thermal Decomposition,corona </v>
      </c>
    </row>
    <row r="294" ht="12.75" customHeight="1">
      <c r="A294" s="11">
        <v>292.0</v>
      </c>
      <c r="B294" s="21">
        <v>6007247.0</v>
      </c>
      <c r="C294" s="13" t="s">
        <v>320</v>
      </c>
      <c r="D294" s="13" t="s">
        <v>321</v>
      </c>
      <c r="E294" s="13" t="s">
        <v>91</v>
      </c>
      <c r="F294" s="21">
        <v>2016.0</v>
      </c>
      <c r="G294" s="17">
        <v>8.5</v>
      </c>
      <c r="H294" s="16">
        <v>3.655</v>
      </c>
      <c r="I294" s="16">
        <v>15545.99</v>
      </c>
      <c r="J294" s="16">
        <v>67562.675</v>
      </c>
      <c r="K294" s="16">
        <v>69.27499999999999</v>
      </c>
      <c r="L294" s="16">
        <v>736.5250000000001</v>
      </c>
      <c r="M294" s="16">
        <v>2.8049999999999997</v>
      </c>
      <c r="N294" s="16">
        <v>8.0</v>
      </c>
      <c r="O294" s="16">
        <v>6.959999999999999</v>
      </c>
      <c r="P294" s="17">
        <v>7.0</v>
      </c>
      <c r="Q294" s="17" t="str">
        <f t="shared" si="1"/>
        <v>1.005747126</v>
      </c>
      <c r="R294" s="17" t="str">
        <f t="shared" si="2"/>
        <v>0.7674418605</v>
      </c>
      <c r="S294" s="17" t="str">
        <f t="shared" si="8"/>
        <v>0.87</v>
      </c>
      <c r="T294" s="17" t="s">
        <v>30</v>
      </c>
      <c r="U294" s="17" t="s">
        <v>31</v>
      </c>
      <c r="V294" s="17" t="str">
        <f t="shared" si="254"/>
        <v>Partial discharge, Normal </v>
      </c>
      <c r="W294" s="17" t="str">
        <f t="shared" si="3"/>
        <v>1.005747126</v>
      </c>
      <c r="X294" s="17" t="str">
        <f t="shared" si="33"/>
        <v>0.7674418605</v>
      </c>
      <c r="Y294" s="17" t="str">
        <f t="shared" si="9"/>
        <v>0.87</v>
      </c>
      <c r="Z294" s="17" t="str">
        <f t="shared" si="255"/>
        <v>Discharge of Low Energy,  </v>
      </c>
      <c r="AA294" s="17" t="s">
        <v>34</v>
      </c>
      <c r="AB294" s="17" t="s">
        <v>107</v>
      </c>
      <c r="AC294" s="17" t="str">
        <f t="shared" si="5"/>
        <v>0.7674418605</v>
      </c>
      <c r="AD294" s="18" t="str">
        <f t="shared" si="10"/>
        <v>1.005747126</v>
      </c>
      <c r="AE294" s="17" t="str">
        <f t="shared" si="6"/>
        <v>2.495543672</v>
      </c>
      <c r="AF294" s="17" t="str">
        <f t="shared" si="11"/>
        <v>1.142857143</v>
      </c>
      <c r="AG294" s="17" t="s">
        <v>30</v>
      </c>
      <c r="AH294" s="17" t="str">
        <f t="shared" si="247"/>
        <v>Arching</v>
      </c>
      <c r="AI294" s="17" t="str">
        <f t="shared" si="16"/>
        <v>Arching</v>
      </c>
      <c r="AJ294" s="17" t="str">
        <f t="shared" si="235"/>
        <v>Thermal Decomposition,corona </v>
      </c>
    </row>
    <row r="295" ht="12.75" customHeight="1">
      <c r="A295" s="11">
        <v>293.0</v>
      </c>
      <c r="B295" s="21" t="s">
        <v>322</v>
      </c>
      <c r="C295" s="13" t="s">
        <v>241</v>
      </c>
      <c r="D295" s="21" t="s">
        <v>323</v>
      </c>
      <c r="E295" s="21" t="s">
        <v>324</v>
      </c>
      <c r="F295" s="21">
        <v>2015.0</v>
      </c>
      <c r="G295" s="25">
        <v>8.0</v>
      </c>
      <c r="H295" s="16">
        <v>8.4</v>
      </c>
      <c r="I295" s="16">
        <v>15211.199999999999</v>
      </c>
      <c r="J295" s="16">
        <v>63358.56</v>
      </c>
      <c r="K295" s="16">
        <v>108.4</v>
      </c>
      <c r="L295" s="16">
        <v>641.76</v>
      </c>
      <c r="M295" s="16">
        <v>6.959999999999999</v>
      </c>
      <c r="N295" s="16">
        <v>9.0</v>
      </c>
      <c r="O295" s="16">
        <v>9.047</v>
      </c>
      <c r="P295" s="16">
        <v>4.0</v>
      </c>
      <c r="Q295" s="17" t="str">
        <f t="shared" si="1"/>
        <v>0.4421355145</v>
      </c>
      <c r="R295" s="17" t="str">
        <f t="shared" si="2"/>
        <v>0.8285714286</v>
      </c>
      <c r="S295" s="17" t="str">
        <f t="shared" si="8"/>
        <v>1.005222222</v>
      </c>
      <c r="T295" s="17" t="str">
        <f t="shared" ref="T295:T296" si="258">IF(Q295&lt;1,"Partial discharge,Low Temprature thermal fault,")</f>
        <v>Partial discharge,Low Temprature thermal fault,</v>
      </c>
      <c r="U295" s="17" t="s">
        <v>31</v>
      </c>
      <c r="V295" s="17" t="s">
        <v>37</v>
      </c>
      <c r="W295" s="17" t="str">
        <f t="shared" si="3"/>
        <v>0.4421355145</v>
      </c>
      <c r="X295" s="17" t="str">
        <f t="shared" si="33"/>
        <v>0.8285714286</v>
      </c>
      <c r="Y295" s="17" t="str">
        <f t="shared" si="9"/>
        <v>1.005222222</v>
      </c>
      <c r="Z295" s="17" t="s">
        <v>34</v>
      </c>
      <c r="AA295" s="17" t="s">
        <v>34</v>
      </c>
      <c r="AB295" s="17" t="str">
        <f t="shared" ref="AB295:AB300" si="259">IF(Y295&lt;0.2,"Partial Discharges, ",IF(Y295&gt;1,"Thermal  Fault  &gt;700 c"))</f>
        <v>Thermal  Fault  &gt;700 c</v>
      </c>
      <c r="AC295" s="17" t="str">
        <f t="shared" si="5"/>
        <v>0.8285714286</v>
      </c>
      <c r="AD295" s="18" t="str">
        <f t="shared" si="10"/>
        <v>0.4421355145</v>
      </c>
      <c r="AE295" s="17" t="str">
        <f t="shared" si="6"/>
        <v>0.5747126437</v>
      </c>
      <c r="AF295" s="17" t="str">
        <f t="shared" si="11"/>
        <v>2.25</v>
      </c>
      <c r="AG295" s="17" t="str">
        <f t="shared" ref="AG295:AG297" si="260">IF(AC295&gt;1,"Thermal Decomposition, ",IF(AC295&lt;0.1,"Corona,Arching"))</f>
        <v>FALSE</v>
      </c>
      <c r="AH295" s="17" t="str">
        <f t="shared" si="247"/>
        <v>Thermal Decomposition, </v>
      </c>
      <c r="AI295" s="17" t="str">
        <f t="shared" si="16"/>
        <v>Arching</v>
      </c>
      <c r="AJ295" s="17" t="str">
        <f t="shared" si="235"/>
        <v>Thermal Decomposition,corona </v>
      </c>
    </row>
    <row r="296" ht="12.75" customHeight="1">
      <c r="A296" s="11">
        <v>294.0</v>
      </c>
      <c r="B296" s="21" t="s">
        <v>325</v>
      </c>
      <c r="C296" s="13" t="s">
        <v>241</v>
      </c>
      <c r="D296" s="21" t="s">
        <v>323</v>
      </c>
      <c r="E296" s="21" t="s">
        <v>324</v>
      </c>
      <c r="F296" s="21">
        <v>2015.0</v>
      </c>
      <c r="G296" s="17">
        <v>8.3</v>
      </c>
      <c r="H296" s="16">
        <v>6.806000000000001</v>
      </c>
      <c r="I296" s="16">
        <v>16830.574</v>
      </c>
      <c r="J296" s="16">
        <v>64411.984000000004</v>
      </c>
      <c r="K296" s="16">
        <v>126.24300000000002</v>
      </c>
      <c r="L296" s="16">
        <v>1120.168</v>
      </c>
      <c r="M296" s="16">
        <v>9.047</v>
      </c>
      <c r="N296" s="16">
        <v>6.0</v>
      </c>
      <c r="O296" s="16">
        <v>12.956000000000001</v>
      </c>
      <c r="P296" s="16">
        <v>8.0</v>
      </c>
      <c r="Q296" s="17" t="str">
        <f t="shared" si="1"/>
        <v>0.6174745292</v>
      </c>
      <c r="R296" s="17" t="str">
        <f t="shared" si="2"/>
        <v>1.329268293</v>
      </c>
      <c r="S296" s="17" t="str">
        <f t="shared" si="8"/>
        <v>2.159333333</v>
      </c>
      <c r="T296" s="17" t="str">
        <f t="shared" si="258"/>
        <v>Partial discharge,Low Temprature thermal fault,</v>
      </c>
      <c r="U296" s="17" t="str">
        <f t="shared" ref="U296:U297" si="261">IF(R296&gt;1,"Thermal Fault &lt;700c, thermal fault &gt;700c ")</f>
        <v>Thermal Fault &lt;700c, thermal fault &gt;700c </v>
      </c>
      <c r="V296" s="17" t="s">
        <v>37</v>
      </c>
      <c r="W296" s="17" t="str">
        <f t="shared" si="3"/>
        <v>0.6174745292</v>
      </c>
      <c r="X296" s="17" t="str">
        <f t="shared" si="33"/>
        <v>1.329268293</v>
      </c>
      <c r="Y296" s="17" t="str">
        <f t="shared" si="9"/>
        <v>2.159333333</v>
      </c>
      <c r="Z296" s="17" t="s">
        <v>34</v>
      </c>
      <c r="AA296" s="17" t="str">
        <f t="shared" ref="AA296:AA297" si="262">IF(X296&lt;0.1,"Partial Discharges, ",IF(X296&gt;1,"Thermal  Fault &gt;300c and&lt;700 and &gt;700 c"))</f>
        <v>Thermal  Fault &gt;300c and&lt;700 and &gt;700 c</v>
      </c>
      <c r="AB296" s="17" t="str">
        <f t="shared" si="259"/>
        <v>Thermal  Fault  &gt;700 c</v>
      </c>
      <c r="AC296" s="17" t="str">
        <f t="shared" si="5"/>
        <v>1.329268293</v>
      </c>
      <c r="AD296" s="18" t="str">
        <f t="shared" si="10"/>
        <v>0.6174745292</v>
      </c>
      <c r="AE296" s="17" t="str">
        <f t="shared" si="6"/>
        <v>0.8842710291</v>
      </c>
      <c r="AF296" s="17" t="str">
        <f t="shared" si="11"/>
        <v>0.75</v>
      </c>
      <c r="AG296" s="17" t="str">
        <f t="shared" si="260"/>
        <v>Thermal Decomposition, </v>
      </c>
      <c r="AH296" s="17" t="str">
        <f t="shared" si="247"/>
        <v>Thermal Decomposition, </v>
      </c>
      <c r="AI296" s="17" t="str">
        <f t="shared" si="16"/>
        <v>Arching</v>
      </c>
      <c r="AJ296" s="17" t="str">
        <f t="shared" si="235"/>
        <v>Thermal Decomposition,corona </v>
      </c>
    </row>
    <row r="297" ht="12.75" customHeight="1">
      <c r="A297" s="11">
        <v>295.0</v>
      </c>
      <c r="B297" s="17">
        <v>66189.0</v>
      </c>
      <c r="C297" s="17" t="s">
        <v>84</v>
      </c>
      <c r="D297" s="17" t="s">
        <v>326</v>
      </c>
      <c r="E297" s="22" t="s">
        <v>67</v>
      </c>
      <c r="F297" s="17">
        <v>2010.0</v>
      </c>
      <c r="G297" s="17">
        <v>8.2</v>
      </c>
      <c r="H297" s="16">
        <v>6.97</v>
      </c>
      <c r="I297" s="16">
        <v>14996.488</v>
      </c>
      <c r="J297" s="16">
        <v>64269.549999999996</v>
      </c>
      <c r="K297" s="16">
        <v>135.62799999999996</v>
      </c>
      <c r="L297" s="16">
        <v>1440.2479999999998</v>
      </c>
      <c r="M297" s="16">
        <v>12.956000000000001</v>
      </c>
      <c r="N297" s="16">
        <v>9.0</v>
      </c>
      <c r="O297" s="16">
        <v>1.68</v>
      </c>
      <c r="P297" s="16">
        <v>5.0</v>
      </c>
      <c r="Q297" s="17" t="str">
        <f t="shared" si="1"/>
        <v>2.976190476</v>
      </c>
      <c r="R297" s="17" t="str">
        <f t="shared" si="2"/>
        <v>1.858823529</v>
      </c>
      <c r="S297" s="17" t="str">
        <f t="shared" si="8"/>
        <v>0.1866666667</v>
      </c>
      <c r="T297" s="17" t="s">
        <v>30</v>
      </c>
      <c r="U297" s="17" t="str">
        <f t="shared" si="261"/>
        <v>Thermal Fault &lt;700c, thermal fault &gt;700c </v>
      </c>
      <c r="V297" s="17" t="str">
        <f>IF(S297&lt;1,"Partial discharge, Normal ",IF(S297&gt;3,"Arching,Thermal  Fault &gt; 700 c"))</f>
        <v>Partial discharge, Normal </v>
      </c>
      <c r="W297" s="17" t="str">
        <f t="shared" si="3"/>
        <v>2.976190476</v>
      </c>
      <c r="X297" s="17" t="str">
        <f t="shared" si="33"/>
        <v>1.858823529</v>
      </c>
      <c r="Y297" s="17" t="str">
        <f t="shared" si="9"/>
        <v>0.1866666667</v>
      </c>
      <c r="Z297" s="17" t="str">
        <f t="shared" ref="Z297:Z298" si="263">IF(W297&gt;1,"Discharge of Low Energy,  ",IF(W297&lt;0.1,"Thermal  Fault&gt; 300c and&lt;700 c"))</f>
        <v>Discharge of Low Energy,  </v>
      </c>
      <c r="AA297" s="17" t="str">
        <f t="shared" si="262"/>
        <v>Thermal  Fault &gt;300c and&lt;700 and &gt;700 c</v>
      </c>
      <c r="AB297" s="17" t="str">
        <f t="shared" si="259"/>
        <v>Partial Discharges, </v>
      </c>
      <c r="AC297" s="17" t="str">
        <f t="shared" si="5"/>
        <v>1.858823529</v>
      </c>
      <c r="AD297" s="18" t="str">
        <f t="shared" si="10"/>
        <v>2.976190476</v>
      </c>
      <c r="AE297" s="17" t="str">
        <f t="shared" si="6"/>
        <v>0.3859215807</v>
      </c>
      <c r="AF297" s="17" t="str">
        <f t="shared" si="11"/>
        <v>1.8</v>
      </c>
      <c r="AG297" s="17" t="str">
        <f t="shared" si="260"/>
        <v>Thermal Decomposition, </v>
      </c>
      <c r="AH297" s="17" t="str">
        <f t="shared" si="247"/>
        <v>Arching</v>
      </c>
      <c r="AI297" s="17" t="str">
        <f t="shared" si="16"/>
        <v>Arching</v>
      </c>
      <c r="AJ297" s="17" t="str">
        <f t="shared" si="235"/>
        <v>Thermal Decomposition,corona </v>
      </c>
    </row>
    <row r="298" ht="12.75" customHeight="1">
      <c r="A298" s="11">
        <v>296.0</v>
      </c>
      <c r="B298" s="17">
        <v>66190.0</v>
      </c>
      <c r="C298" s="17" t="s">
        <v>84</v>
      </c>
      <c r="D298" s="17" t="s">
        <v>326</v>
      </c>
      <c r="E298" s="22" t="s">
        <v>67</v>
      </c>
      <c r="F298" s="17">
        <v>2010.0</v>
      </c>
      <c r="G298" s="25">
        <v>8.0</v>
      </c>
      <c r="H298" s="16">
        <v>4.16</v>
      </c>
      <c r="I298" s="16">
        <v>15725.2</v>
      </c>
      <c r="J298" s="16">
        <v>62032.159999999996</v>
      </c>
      <c r="K298" s="16">
        <v>113.84</v>
      </c>
      <c r="L298" s="16">
        <v>1250.56</v>
      </c>
      <c r="M298" s="16">
        <v>1.68</v>
      </c>
      <c r="N298" s="16">
        <v>6.0</v>
      </c>
      <c r="O298" s="16">
        <v>6.08</v>
      </c>
      <c r="P298" s="16">
        <v>9.0</v>
      </c>
      <c r="Q298" s="17" t="str">
        <f t="shared" si="1"/>
        <v>1.480263158</v>
      </c>
      <c r="R298" s="17" t="str">
        <f t="shared" si="2"/>
        <v>0.4038461538</v>
      </c>
      <c r="S298" s="17" t="str">
        <f t="shared" si="8"/>
        <v>1.013333333</v>
      </c>
      <c r="T298" s="17" t="s">
        <v>30</v>
      </c>
      <c r="U298" s="17" t="s">
        <v>31</v>
      </c>
      <c r="V298" s="17" t="s">
        <v>37</v>
      </c>
      <c r="W298" s="17" t="str">
        <f t="shared" si="3"/>
        <v>1.480263158</v>
      </c>
      <c r="X298" s="17" t="str">
        <f t="shared" si="33"/>
        <v>0.4038461538</v>
      </c>
      <c r="Y298" s="17" t="str">
        <f t="shared" si="9"/>
        <v>1.013333333</v>
      </c>
      <c r="Z298" s="17" t="str">
        <f t="shared" si="263"/>
        <v>Discharge of Low Energy,  </v>
      </c>
      <c r="AA298" s="17" t="s">
        <v>34</v>
      </c>
      <c r="AB298" s="17" t="str">
        <f t="shared" si="259"/>
        <v>Thermal  Fault  &gt;700 c</v>
      </c>
      <c r="AC298" s="17" t="str">
        <f t="shared" si="5"/>
        <v>0.4038461538</v>
      </c>
      <c r="AD298" s="18" t="str">
        <f t="shared" si="10"/>
        <v>1.480263158</v>
      </c>
      <c r="AE298" s="17" t="str">
        <f t="shared" si="6"/>
        <v>5.357142857</v>
      </c>
      <c r="AF298" s="17" t="str">
        <f t="shared" si="11"/>
        <v>0.6666666667</v>
      </c>
      <c r="AG298" s="17" t="s">
        <v>30</v>
      </c>
      <c r="AH298" s="17" t="str">
        <f t="shared" si="247"/>
        <v>Arching</v>
      </c>
      <c r="AI298" s="17" t="str">
        <f t="shared" si="16"/>
        <v>Arching</v>
      </c>
      <c r="AJ298" s="17" t="str">
        <f t="shared" si="235"/>
        <v>Thermal Decomposition,corona </v>
      </c>
    </row>
    <row r="299" ht="12.75" customHeight="1">
      <c r="A299" s="11">
        <v>297.0</v>
      </c>
      <c r="B299" s="22" t="s">
        <v>67</v>
      </c>
      <c r="C299" s="17" t="s">
        <v>89</v>
      </c>
      <c r="D299" s="17" t="s">
        <v>297</v>
      </c>
      <c r="E299" s="22" t="s">
        <v>95</v>
      </c>
      <c r="F299" s="17">
        <v>2003.0</v>
      </c>
      <c r="G299" s="25">
        <v>8.0</v>
      </c>
      <c r="H299" s="16">
        <v>7.04</v>
      </c>
      <c r="I299" s="16">
        <v>15708.32</v>
      </c>
      <c r="J299" s="16">
        <v>62110.799999999996</v>
      </c>
      <c r="K299" s="16">
        <v>132.64000000000001</v>
      </c>
      <c r="L299" s="16">
        <v>1351.76</v>
      </c>
      <c r="M299" s="16">
        <v>6.08</v>
      </c>
      <c r="N299" s="16">
        <v>9.0</v>
      </c>
      <c r="O299" s="16">
        <v>19.351999999999997</v>
      </c>
      <c r="P299" s="17">
        <v>4.0</v>
      </c>
      <c r="Q299" s="17" t="str">
        <f t="shared" si="1"/>
        <v>0.2066969822</v>
      </c>
      <c r="R299" s="17" t="str">
        <f t="shared" si="2"/>
        <v>0.8636363636</v>
      </c>
      <c r="S299" s="17" t="str">
        <f t="shared" si="8"/>
        <v>2.150222222</v>
      </c>
      <c r="T299" s="17" t="str">
        <f t="shared" ref="T299:T300" si="264">IF(Q299&lt;1,"Partial discharge,Low Temprature thermal fault,")</f>
        <v>Partial discharge,Low Temprature thermal fault,</v>
      </c>
      <c r="U299" s="17" t="s">
        <v>31</v>
      </c>
      <c r="V299" s="17" t="s">
        <v>37</v>
      </c>
      <c r="W299" s="17" t="str">
        <f t="shared" si="3"/>
        <v>0.2066969822</v>
      </c>
      <c r="X299" s="17" t="str">
        <f t="shared" si="33"/>
        <v>0.8636363636</v>
      </c>
      <c r="Y299" s="17" t="str">
        <f t="shared" si="9"/>
        <v>2.150222222</v>
      </c>
      <c r="Z299" s="17" t="s">
        <v>34</v>
      </c>
      <c r="AA299" s="17" t="s">
        <v>34</v>
      </c>
      <c r="AB299" s="17" t="str">
        <f t="shared" si="259"/>
        <v>Thermal  Fault  &gt;700 c</v>
      </c>
      <c r="AC299" s="17" t="str">
        <f t="shared" si="5"/>
        <v>0.8636363636</v>
      </c>
      <c r="AD299" s="18" t="str">
        <f t="shared" si="10"/>
        <v>0.2066969822</v>
      </c>
      <c r="AE299" s="17" t="str">
        <f t="shared" si="6"/>
        <v>0.6578947368</v>
      </c>
      <c r="AF299" s="17" t="str">
        <f t="shared" si="11"/>
        <v>2.25</v>
      </c>
      <c r="AG299" s="17" t="s">
        <v>30</v>
      </c>
      <c r="AH299" s="17" t="str">
        <f t="shared" si="247"/>
        <v>Thermal Decomposition, </v>
      </c>
      <c r="AI299" s="17" t="str">
        <f t="shared" si="16"/>
        <v>Arching</v>
      </c>
      <c r="AJ299" s="17" t="str">
        <f t="shared" si="235"/>
        <v>Thermal Decomposition,corona </v>
      </c>
    </row>
    <row r="300" ht="12.75" customHeight="1">
      <c r="A300" s="11">
        <v>298.0</v>
      </c>
      <c r="B300" s="22" t="s">
        <v>67</v>
      </c>
      <c r="C300" s="17" t="s">
        <v>89</v>
      </c>
      <c r="D300" s="17" t="s">
        <v>297</v>
      </c>
      <c r="E300" s="22" t="s">
        <v>95</v>
      </c>
      <c r="F300" s="17">
        <v>1999.0</v>
      </c>
      <c r="G300" s="17">
        <v>8.2</v>
      </c>
      <c r="H300" s="16">
        <v>10.168</v>
      </c>
      <c r="I300" s="16">
        <v>16519.474</v>
      </c>
      <c r="J300" s="16">
        <v>61516.23599999999</v>
      </c>
      <c r="K300" s="16">
        <v>257.89</v>
      </c>
      <c r="L300" s="16">
        <v>2670.1659999999997</v>
      </c>
      <c r="M300" s="16">
        <v>19.351999999999997</v>
      </c>
      <c r="N300" s="16">
        <v>6.0</v>
      </c>
      <c r="O300" s="16">
        <v>11.397999999999998</v>
      </c>
      <c r="P300" s="17">
        <v>7.0</v>
      </c>
      <c r="Q300" s="17" t="str">
        <f t="shared" si="1"/>
        <v>0.6141428321</v>
      </c>
      <c r="R300" s="17" t="str">
        <f t="shared" si="2"/>
        <v>1.903225806</v>
      </c>
      <c r="S300" s="17" t="str">
        <f t="shared" si="8"/>
        <v>1.899666667</v>
      </c>
      <c r="T300" s="17" t="str">
        <f t="shared" si="264"/>
        <v>Partial discharge,Low Temprature thermal fault,</v>
      </c>
      <c r="U300" s="17" t="str">
        <f t="shared" ref="U300:U302" si="265">IF(R300&gt;1,"Thermal Fault &lt;700c, thermal fault &gt;700c ")</f>
        <v>Thermal Fault &lt;700c, thermal fault &gt;700c </v>
      </c>
      <c r="V300" s="17" t="s">
        <v>37</v>
      </c>
      <c r="W300" s="17" t="str">
        <f t="shared" si="3"/>
        <v>0.6141428321</v>
      </c>
      <c r="X300" s="17" t="str">
        <f t="shared" si="33"/>
        <v>1.903225806</v>
      </c>
      <c r="Y300" s="17" t="str">
        <f t="shared" si="9"/>
        <v>1.899666667</v>
      </c>
      <c r="Z300" s="17" t="s">
        <v>34</v>
      </c>
      <c r="AA300" s="17" t="str">
        <f t="shared" ref="AA300:AA303" si="266">IF(X300&lt;0.1,"Partial Discharges, ",IF(X300&gt;1,"Thermal  Fault &gt;300c and&lt;700 and &gt;700 c"))</f>
        <v>Thermal  Fault &gt;300c and&lt;700 and &gt;700 c</v>
      </c>
      <c r="AB300" s="17" t="str">
        <f t="shared" si="259"/>
        <v>Thermal  Fault  &gt;700 c</v>
      </c>
      <c r="AC300" s="17" t="str">
        <f t="shared" si="5"/>
        <v>1.903225806</v>
      </c>
      <c r="AD300" s="18" t="str">
        <f t="shared" si="10"/>
        <v>0.6141428321</v>
      </c>
      <c r="AE300" s="17" t="str">
        <f t="shared" si="6"/>
        <v>0.3617197189</v>
      </c>
      <c r="AF300" s="17" t="str">
        <f t="shared" si="11"/>
        <v>0.8571428571</v>
      </c>
      <c r="AG300" s="17" t="str">
        <f t="shared" ref="AG300:AG303" si="267">IF(AC300&gt;1,"Thermal Decomposition, ",IF(AC300&lt;0.1,"Corona,Arching"))</f>
        <v>Thermal Decomposition, </v>
      </c>
      <c r="AH300" s="17" t="str">
        <f t="shared" si="247"/>
        <v>Thermal Decomposition, </v>
      </c>
      <c r="AI300" s="17" t="str">
        <f t="shared" si="16"/>
        <v>Arching</v>
      </c>
      <c r="AJ300" s="17" t="str">
        <f t="shared" si="235"/>
        <v>Thermal Decomposition,corona </v>
      </c>
    </row>
    <row r="301" ht="12.75" customHeight="1">
      <c r="A301" s="11">
        <v>299.0</v>
      </c>
      <c r="B301" s="22" t="s">
        <v>327</v>
      </c>
      <c r="C301" s="17" t="s">
        <v>328</v>
      </c>
      <c r="D301" s="17" t="s">
        <v>329</v>
      </c>
      <c r="E301" s="22" t="s">
        <v>330</v>
      </c>
      <c r="F301" s="17">
        <v>2012.0</v>
      </c>
      <c r="G301" s="17">
        <v>8.1</v>
      </c>
      <c r="H301" s="16">
        <v>1.8629999999999998</v>
      </c>
      <c r="I301" s="16">
        <v>16253.297999999999</v>
      </c>
      <c r="J301" s="16">
        <v>62800.676999999996</v>
      </c>
      <c r="K301" s="16">
        <v>92.01599999999999</v>
      </c>
      <c r="L301" s="16">
        <v>1054.1339999999998</v>
      </c>
      <c r="M301" s="16">
        <v>3.159</v>
      </c>
      <c r="N301" s="16">
        <v>9.0</v>
      </c>
      <c r="O301" s="16">
        <v>8.0</v>
      </c>
      <c r="P301" s="19">
        <v>99.0</v>
      </c>
      <c r="Q301" s="17" t="str">
        <f t="shared" si="1"/>
        <v>12.375</v>
      </c>
      <c r="R301" s="17" t="str">
        <f t="shared" si="2"/>
        <v>1.695652174</v>
      </c>
      <c r="S301" s="17" t="str">
        <f t="shared" si="8"/>
        <v>0.8888888889</v>
      </c>
      <c r="T301" s="17" t="s">
        <v>30</v>
      </c>
      <c r="U301" s="17" t="str">
        <f t="shared" si="265"/>
        <v>Thermal Fault &lt;700c, thermal fault &gt;700c </v>
      </c>
      <c r="V301" s="17" t="str">
        <f t="shared" ref="V301:V302" si="268">IF(S301&lt;1,"Partial discharge, Normal ",IF(S301&gt;3,"Arching,Thermal  Fault &gt; 700 c"))</f>
        <v>Partial discharge, Normal </v>
      </c>
      <c r="W301" s="17" t="str">
        <f t="shared" si="3"/>
        <v>12.375</v>
      </c>
      <c r="X301" s="17" t="str">
        <f t="shared" si="33"/>
        <v>1.695652174</v>
      </c>
      <c r="Y301" s="17" t="str">
        <f t="shared" si="9"/>
        <v>0.8888888889</v>
      </c>
      <c r="Z301" s="17" t="str">
        <f t="shared" ref="Z301:Z304" si="269">IF(W301&gt;1,"Discharge of Low Energy,  ",IF(W301&lt;0.1,"Thermal  Fault&gt; 300c and&lt;700 c"))</f>
        <v>Discharge of Low Energy,  </v>
      </c>
      <c r="AA301" s="17" t="str">
        <f t="shared" si="266"/>
        <v>Thermal  Fault &gt;300c and&lt;700 and &gt;700 c</v>
      </c>
      <c r="AB301" s="17" t="s">
        <v>107</v>
      </c>
      <c r="AC301" s="17" t="str">
        <f t="shared" si="5"/>
        <v>1.695652174</v>
      </c>
      <c r="AD301" s="18" t="str">
        <f t="shared" si="10"/>
        <v>12.375</v>
      </c>
      <c r="AE301" s="17" t="str">
        <f t="shared" si="6"/>
        <v>31.33903134</v>
      </c>
      <c r="AF301" s="17" t="str">
        <f t="shared" si="11"/>
        <v>0.09090909091</v>
      </c>
      <c r="AG301" s="17" t="str">
        <f t="shared" si="267"/>
        <v>Thermal Decomposition, </v>
      </c>
      <c r="AH301" s="17" t="str">
        <f t="shared" si="247"/>
        <v>Arching</v>
      </c>
      <c r="AI301" s="17" t="str">
        <f t="shared" si="16"/>
        <v>Arching</v>
      </c>
      <c r="AJ301" s="17" t="str">
        <f t="shared" si="235"/>
        <v>Arching</v>
      </c>
    </row>
    <row r="302" ht="12.75" customHeight="1">
      <c r="A302" s="11">
        <v>300.0</v>
      </c>
      <c r="B302" s="22" t="s">
        <v>331</v>
      </c>
      <c r="C302" s="17" t="s">
        <v>40</v>
      </c>
      <c r="D302" s="17" t="s">
        <v>332</v>
      </c>
      <c r="E302" s="22" t="s">
        <v>138</v>
      </c>
      <c r="F302" s="17">
        <v>1996.0</v>
      </c>
      <c r="G302" s="17">
        <v>8.5</v>
      </c>
      <c r="H302" s="16">
        <v>15.809999999999999</v>
      </c>
      <c r="I302" s="16">
        <v>17124.78</v>
      </c>
      <c r="J302" s="16">
        <v>63627.93999999999</v>
      </c>
      <c r="K302" s="16">
        <v>252.28000000000003</v>
      </c>
      <c r="L302" s="16">
        <v>2654.8900000000003</v>
      </c>
      <c r="M302" s="16">
        <v>27.709999999999997</v>
      </c>
      <c r="N302" s="16">
        <v>7.5649999999999995</v>
      </c>
      <c r="O302" s="16">
        <v>35.529999999999994</v>
      </c>
      <c r="P302" s="19">
        <v>45.0</v>
      </c>
      <c r="Q302" s="17" t="str">
        <f t="shared" si="1"/>
        <v>1.266535322</v>
      </c>
      <c r="R302" s="17" t="str">
        <f t="shared" si="2"/>
        <v>1.752688172</v>
      </c>
      <c r="S302" s="17" t="str">
        <f t="shared" si="8"/>
        <v>4.696629213</v>
      </c>
      <c r="T302" s="17" t="s">
        <v>30</v>
      </c>
      <c r="U302" s="17" t="str">
        <f t="shared" si="265"/>
        <v>Thermal Fault &lt;700c, thermal fault &gt;700c </v>
      </c>
      <c r="V302" s="17" t="str">
        <f t="shared" si="268"/>
        <v>Arching,Thermal  Fault &gt; 700 c</v>
      </c>
      <c r="W302" s="17" t="str">
        <f t="shared" si="3"/>
        <v>1.266535322</v>
      </c>
      <c r="X302" s="17" t="str">
        <f t="shared" si="33"/>
        <v>1.752688172</v>
      </c>
      <c r="Y302" s="17" t="str">
        <f t="shared" si="9"/>
        <v>4.696629213</v>
      </c>
      <c r="Z302" s="17" t="str">
        <f t="shared" si="269"/>
        <v>Discharge of Low Energy,  </v>
      </c>
      <c r="AA302" s="17" t="str">
        <f t="shared" si="266"/>
        <v>Thermal  Fault &gt;300c and&lt;700 and &gt;700 c</v>
      </c>
      <c r="AB302" s="17" t="str">
        <f t="shared" ref="AB302:AB304" si="270">IF(Y302&lt;0.2,"Partial Discharges, ",IF(Y302&gt;1,"Thermal  Fault  &gt;700 c"))</f>
        <v>Thermal  Fault  &gt;700 c</v>
      </c>
      <c r="AC302" s="17" t="str">
        <f t="shared" si="5"/>
        <v>1.752688172</v>
      </c>
      <c r="AD302" s="18" t="str">
        <f t="shared" si="10"/>
        <v>1.266535322</v>
      </c>
      <c r="AE302" s="17" t="str">
        <f t="shared" si="6"/>
        <v>1.623962468</v>
      </c>
      <c r="AF302" s="17" t="str">
        <f t="shared" si="11"/>
        <v>0.1681111111</v>
      </c>
      <c r="AG302" s="17" t="str">
        <f t="shared" si="267"/>
        <v>Thermal Decomposition, </v>
      </c>
      <c r="AH302" s="17" t="str">
        <f t="shared" si="247"/>
        <v>Arching</v>
      </c>
      <c r="AI302" s="17" t="str">
        <f t="shared" si="16"/>
        <v>Arching</v>
      </c>
      <c r="AJ302" s="17" t="str">
        <f t="shared" si="235"/>
        <v>Arching</v>
      </c>
    </row>
    <row r="303" ht="12.75" customHeight="1">
      <c r="A303" s="11">
        <v>301.0</v>
      </c>
      <c r="B303" s="22" t="s">
        <v>67</v>
      </c>
      <c r="C303" s="17" t="s">
        <v>89</v>
      </c>
      <c r="D303" s="17" t="s">
        <v>206</v>
      </c>
      <c r="E303" s="22" t="s">
        <v>130</v>
      </c>
      <c r="F303" s="17">
        <v>2008.0</v>
      </c>
      <c r="G303" s="17">
        <v>8.2</v>
      </c>
      <c r="H303" s="16">
        <v>2.05</v>
      </c>
      <c r="I303" s="16">
        <v>16118.083999999995</v>
      </c>
      <c r="J303" s="16">
        <v>64153.192</v>
      </c>
      <c r="K303" s="16">
        <v>101.762</v>
      </c>
      <c r="L303" s="16">
        <v>932.9959999999998</v>
      </c>
      <c r="M303" s="17">
        <v>9.0</v>
      </c>
      <c r="N303" s="16">
        <v>2.8049999999999997</v>
      </c>
      <c r="O303" s="16">
        <v>7.0</v>
      </c>
      <c r="P303" s="19">
        <v>224.0</v>
      </c>
      <c r="Q303" s="17" t="str">
        <f t="shared" si="1"/>
        <v>32</v>
      </c>
      <c r="R303" s="17" t="str">
        <f t="shared" si="2"/>
        <v>4.390243902</v>
      </c>
      <c r="S303" s="17" t="str">
        <f t="shared" si="8"/>
        <v>2.495543672</v>
      </c>
      <c r="T303" s="17" t="s">
        <v>30</v>
      </c>
      <c r="U303" s="17" t="str">
        <f>IF(R303&lt;0.1, "Partial discharge", "Low temperature thermal ")</f>
        <v>Low temperature thermal </v>
      </c>
      <c r="V303" s="17" t="s">
        <v>37</v>
      </c>
      <c r="W303" s="17" t="str">
        <f t="shared" si="3"/>
        <v>32</v>
      </c>
      <c r="X303" s="17" t="str">
        <f t="shared" si="33"/>
        <v>4.390243902</v>
      </c>
      <c r="Y303" s="17" t="str">
        <f t="shared" si="9"/>
        <v>2.495543672</v>
      </c>
      <c r="Z303" s="17" t="str">
        <f t="shared" si="269"/>
        <v>Discharge of Low Energy,  </v>
      </c>
      <c r="AA303" s="17" t="str">
        <f t="shared" si="266"/>
        <v>Thermal  Fault &gt;300c and&lt;700 and &gt;700 c</v>
      </c>
      <c r="AB303" s="17" t="str">
        <f t="shared" si="270"/>
        <v>Thermal  Fault  &gt;700 c</v>
      </c>
      <c r="AC303" s="17" t="str">
        <f t="shared" si="5"/>
        <v>4.390243902</v>
      </c>
      <c r="AD303" s="18" t="str">
        <f t="shared" si="10"/>
        <v>32</v>
      </c>
      <c r="AE303" s="17" t="str">
        <f t="shared" si="6"/>
        <v>24.88888889</v>
      </c>
      <c r="AF303" s="17" t="str">
        <f t="shared" si="11"/>
        <v>0.01252232143</v>
      </c>
      <c r="AG303" s="17" t="str">
        <f t="shared" si="267"/>
        <v>Thermal Decomposition, </v>
      </c>
      <c r="AH303" s="17" t="str">
        <f t="shared" si="247"/>
        <v>Arching</v>
      </c>
      <c r="AI303" s="17" t="str">
        <f t="shared" si="16"/>
        <v>Arching</v>
      </c>
      <c r="AJ303" s="17" t="str">
        <f t="shared" si="235"/>
        <v>Arching</v>
      </c>
    </row>
    <row r="304" ht="12.75" customHeight="1">
      <c r="A304" s="11">
        <v>302.0</v>
      </c>
      <c r="B304" s="22" t="s">
        <v>67</v>
      </c>
      <c r="C304" s="17" t="s">
        <v>40</v>
      </c>
      <c r="D304" s="17" t="s">
        <v>190</v>
      </c>
      <c r="E304" s="22" t="s">
        <v>235</v>
      </c>
      <c r="F304" s="17">
        <v>1971.0</v>
      </c>
      <c r="G304" s="25">
        <v>8.1</v>
      </c>
      <c r="H304" s="16">
        <v>4.536</v>
      </c>
      <c r="I304" s="16">
        <v>15436.007999999998</v>
      </c>
      <c r="J304" s="16">
        <v>62845.065</v>
      </c>
      <c r="K304" s="16">
        <v>142.15499999999997</v>
      </c>
      <c r="L304" s="16">
        <v>1536.165</v>
      </c>
      <c r="M304" s="16">
        <v>2.916</v>
      </c>
      <c r="N304" s="16">
        <v>6.959999999999999</v>
      </c>
      <c r="O304" s="16">
        <v>8.0</v>
      </c>
      <c r="P304" s="19">
        <v>55.0</v>
      </c>
      <c r="Q304" s="17" t="str">
        <f t="shared" si="1"/>
        <v>6.875</v>
      </c>
      <c r="R304" s="17" t="str">
        <f t="shared" si="2"/>
        <v>0.6428571429</v>
      </c>
      <c r="S304" s="17" t="str">
        <f t="shared" si="8"/>
        <v>1.149425287</v>
      </c>
      <c r="T304" s="17" t="s">
        <v>30</v>
      </c>
      <c r="U304" s="17" t="s">
        <v>31</v>
      </c>
      <c r="V304" s="17" t="s">
        <v>37</v>
      </c>
      <c r="W304" s="17" t="str">
        <f t="shared" si="3"/>
        <v>6.875</v>
      </c>
      <c r="X304" s="17" t="str">
        <f t="shared" si="33"/>
        <v>0.6428571429</v>
      </c>
      <c r="Y304" s="17" t="str">
        <f t="shared" si="9"/>
        <v>1.149425287</v>
      </c>
      <c r="Z304" s="17" t="str">
        <f t="shared" si="269"/>
        <v>Discharge of Low Energy,  </v>
      </c>
      <c r="AA304" s="17" t="s">
        <v>34</v>
      </c>
      <c r="AB304" s="17" t="str">
        <f t="shared" si="270"/>
        <v>Thermal  Fault  &gt;700 c</v>
      </c>
      <c r="AC304" s="17" t="str">
        <f t="shared" si="5"/>
        <v>0.6428571429</v>
      </c>
      <c r="AD304" s="18" t="str">
        <f t="shared" si="10"/>
        <v>6.875</v>
      </c>
      <c r="AE304" s="17" t="str">
        <f t="shared" si="6"/>
        <v>18.86145405</v>
      </c>
      <c r="AF304" s="17" t="str">
        <f t="shared" si="11"/>
        <v>0.1265454545</v>
      </c>
      <c r="AG304" s="17" t="s">
        <v>30</v>
      </c>
      <c r="AH304" s="17" t="str">
        <f t="shared" si="247"/>
        <v>Arching</v>
      </c>
      <c r="AI304" s="17" t="str">
        <f t="shared" si="16"/>
        <v>Arching</v>
      </c>
      <c r="AJ304" s="17" t="str">
        <f t="shared" si="235"/>
        <v>Arching</v>
      </c>
    </row>
    <row r="305" ht="12.75" customHeight="1">
      <c r="A305" s="11">
        <v>303.0</v>
      </c>
      <c r="B305" s="22" t="s">
        <v>67</v>
      </c>
      <c r="C305" s="17" t="s">
        <v>82</v>
      </c>
      <c r="D305" s="17" t="s">
        <v>190</v>
      </c>
      <c r="E305" s="22" t="s">
        <v>333</v>
      </c>
      <c r="F305" s="17">
        <v>2006.0</v>
      </c>
      <c r="G305" s="17">
        <v>8.4</v>
      </c>
      <c r="H305" s="16">
        <v>1.932</v>
      </c>
      <c r="I305" s="16">
        <v>16811.13</v>
      </c>
      <c r="J305" s="16">
        <v>64289.232</v>
      </c>
      <c r="K305" s="16">
        <v>159.432</v>
      </c>
      <c r="L305" s="16">
        <v>1600.704</v>
      </c>
      <c r="M305" s="16">
        <v>9.0</v>
      </c>
      <c r="N305" s="16">
        <v>9.047</v>
      </c>
      <c r="O305" s="16">
        <v>9.0</v>
      </c>
      <c r="P305" s="19">
        <v>8.0</v>
      </c>
      <c r="Q305" s="17" t="str">
        <f t="shared" si="1"/>
        <v>0.8888888889</v>
      </c>
      <c r="R305" s="17" t="str">
        <f t="shared" si="2"/>
        <v>4.658385093</v>
      </c>
      <c r="S305" s="17" t="str">
        <f t="shared" si="8"/>
        <v>0.9948049077</v>
      </c>
      <c r="T305" s="17" t="str">
        <f>IF(Q305&lt;1,"Partial discharge,Low Temprature thermal fault,")</f>
        <v>Partial discharge,Low Temprature thermal fault,</v>
      </c>
      <c r="U305" s="17" t="str">
        <f>IF(R305&lt;0.1, "Partial discharge", "Low temperature thermal ")</f>
        <v>Low temperature thermal </v>
      </c>
      <c r="V305" s="17" t="str">
        <f t="shared" ref="V305:V307" si="271">IF(S305&lt;1,"Partial discharge, Normal ",IF(S305&gt;3,"Arching,Thermal  Fault &gt; 700 c"))</f>
        <v>Partial discharge, Normal </v>
      </c>
      <c r="W305" s="17" t="str">
        <f t="shared" si="3"/>
        <v>0.8888888889</v>
      </c>
      <c r="X305" s="17" t="str">
        <f t="shared" si="33"/>
        <v>4.658385093</v>
      </c>
      <c r="Y305" s="17" t="str">
        <f t="shared" si="9"/>
        <v>0.9948049077</v>
      </c>
      <c r="Z305" s="17" t="s">
        <v>34</v>
      </c>
      <c r="AA305" s="17" t="str">
        <f t="shared" ref="AA305:AA306" si="272">IF(X305&lt;0.1,"Partial Discharges, ",IF(X305&gt;1,"Thermal  Fault &gt;300c and&lt;700 and &gt;700 c"))</f>
        <v>Thermal  Fault &gt;300c and&lt;700 and &gt;700 c</v>
      </c>
      <c r="AB305" s="17" t="s">
        <v>107</v>
      </c>
      <c r="AC305" s="17" t="str">
        <f t="shared" si="5"/>
        <v>4.658385093</v>
      </c>
      <c r="AD305" s="18" t="str">
        <f t="shared" si="10"/>
        <v>0.8888888889</v>
      </c>
      <c r="AE305" s="17" t="str">
        <f t="shared" si="6"/>
        <v>0.8888888889</v>
      </c>
      <c r="AF305" s="17" t="str">
        <f t="shared" si="11"/>
        <v>1.130875</v>
      </c>
      <c r="AG305" s="17" t="str">
        <f t="shared" ref="AG305:AG306" si="273">IF(AC305&gt;1,"Thermal Decomposition, ",IF(AC305&lt;0.1,"Corona,Arching"))</f>
        <v>Thermal Decomposition, </v>
      </c>
      <c r="AH305" s="17" t="str">
        <f t="shared" si="247"/>
        <v>Arching</v>
      </c>
      <c r="AI305" s="17" t="str">
        <f t="shared" si="16"/>
        <v>Arching</v>
      </c>
      <c r="AJ305" s="17" t="str">
        <f t="shared" si="235"/>
        <v>Thermal Decomposition,corona </v>
      </c>
    </row>
    <row r="306" ht="12.75" customHeight="1">
      <c r="A306" s="11">
        <v>304.0</v>
      </c>
      <c r="B306" s="22" t="s">
        <v>67</v>
      </c>
      <c r="C306" s="17" t="s">
        <v>89</v>
      </c>
      <c r="D306" s="17" t="s">
        <v>334</v>
      </c>
      <c r="E306" s="17" t="s">
        <v>179</v>
      </c>
      <c r="F306" s="17">
        <v>2003.0</v>
      </c>
      <c r="G306" s="17">
        <v>8.2</v>
      </c>
      <c r="H306" s="16">
        <v>2.87</v>
      </c>
      <c r="I306" s="16">
        <v>14897.186</v>
      </c>
      <c r="J306" s="16">
        <v>64886.02599999999</v>
      </c>
      <c r="K306" s="16">
        <v>101.27</v>
      </c>
      <c r="L306" s="16">
        <v>1120.858</v>
      </c>
      <c r="M306" s="16">
        <v>7.954</v>
      </c>
      <c r="N306" s="16">
        <v>12.956000000000001</v>
      </c>
      <c r="O306" s="16">
        <v>8.0</v>
      </c>
      <c r="P306" s="19">
        <v>45.0</v>
      </c>
      <c r="Q306" s="17" t="str">
        <f t="shared" si="1"/>
        <v>5.625</v>
      </c>
      <c r="R306" s="17" t="str">
        <f t="shared" si="2"/>
        <v>2.771428571</v>
      </c>
      <c r="S306" s="17" t="str">
        <f t="shared" si="8"/>
        <v>0.6174745292</v>
      </c>
      <c r="T306" s="17" t="s">
        <v>30</v>
      </c>
      <c r="U306" s="17" t="str">
        <f>IF(R306&gt;1,"Thermal Fault &lt;700c, thermal fault &gt;700c ")</f>
        <v>Thermal Fault &lt;700c, thermal fault &gt;700c </v>
      </c>
      <c r="V306" s="17" t="str">
        <f t="shared" si="271"/>
        <v>Partial discharge, Normal </v>
      </c>
      <c r="W306" s="17" t="str">
        <f t="shared" si="3"/>
        <v>5.625</v>
      </c>
      <c r="X306" s="17" t="str">
        <f t="shared" si="33"/>
        <v>2.771428571</v>
      </c>
      <c r="Y306" s="17" t="str">
        <f t="shared" si="9"/>
        <v>0.6174745292</v>
      </c>
      <c r="Z306" s="17" t="str">
        <f>IF(W306&gt;1,"Discharge of Low Energy,  ",IF(W306&lt;0.1,"Thermal  Fault&gt; 300c and&lt;700 c"))</f>
        <v>Discharge of Low Energy,  </v>
      </c>
      <c r="AA306" s="17" t="str">
        <f t="shared" si="272"/>
        <v>Thermal  Fault &gt;300c and&lt;700 and &gt;700 c</v>
      </c>
      <c r="AB306" s="17" t="s">
        <v>107</v>
      </c>
      <c r="AC306" s="17" t="str">
        <f t="shared" si="5"/>
        <v>2.771428571</v>
      </c>
      <c r="AD306" s="18" t="str">
        <f t="shared" si="10"/>
        <v>5.625</v>
      </c>
      <c r="AE306" s="17" t="str">
        <f t="shared" si="6"/>
        <v>5.657530802</v>
      </c>
      <c r="AF306" s="17" t="str">
        <f t="shared" si="11"/>
        <v>0.2879111111</v>
      </c>
      <c r="AG306" s="17" t="str">
        <f t="shared" si="273"/>
        <v>Thermal Decomposition, </v>
      </c>
      <c r="AH306" s="17" t="str">
        <f t="shared" si="247"/>
        <v>Arching</v>
      </c>
      <c r="AI306" s="17" t="str">
        <f t="shared" si="16"/>
        <v>Arching</v>
      </c>
      <c r="AJ306" s="17" t="str">
        <f t="shared" si="235"/>
        <v>Arching</v>
      </c>
    </row>
    <row r="307" ht="12.75" customHeight="1">
      <c r="A307" s="11">
        <v>305.0</v>
      </c>
      <c r="B307" s="13" t="s">
        <v>335</v>
      </c>
      <c r="C307" s="14" t="s">
        <v>82</v>
      </c>
      <c r="D307" s="14" t="s">
        <v>190</v>
      </c>
      <c r="E307" s="13" t="s">
        <v>258</v>
      </c>
      <c r="F307" s="14">
        <v>2012.0</v>
      </c>
      <c r="G307" s="17">
        <v>7.7</v>
      </c>
      <c r="H307" s="16">
        <v>14.245</v>
      </c>
      <c r="I307" s="16">
        <v>15381.905</v>
      </c>
      <c r="J307" s="16">
        <v>59471.874</v>
      </c>
      <c r="K307" s="16">
        <v>102.025</v>
      </c>
      <c r="L307" s="16">
        <v>1120.8120000000001</v>
      </c>
      <c r="M307" s="16">
        <v>4.312</v>
      </c>
      <c r="N307" s="16">
        <v>1.68</v>
      </c>
      <c r="O307" s="16">
        <v>9.0</v>
      </c>
      <c r="P307" s="19">
        <v>8.0</v>
      </c>
      <c r="Q307" s="17" t="str">
        <f t="shared" si="1"/>
        <v>0.8888888889</v>
      </c>
      <c r="R307" s="17" t="str">
        <f t="shared" si="2"/>
        <v>0.3027027027</v>
      </c>
      <c r="S307" s="17" t="str">
        <f t="shared" si="8"/>
        <v>5.357142857</v>
      </c>
      <c r="T307" s="17" t="str">
        <f>IF(Q307&lt;1,"Partial discharge,Low Temprature thermal fault,")</f>
        <v>Partial discharge,Low Temprature thermal fault,</v>
      </c>
      <c r="U307" s="17" t="s">
        <v>31</v>
      </c>
      <c r="V307" s="17" t="str">
        <f t="shared" si="271"/>
        <v>Arching,Thermal  Fault &gt; 700 c</v>
      </c>
      <c r="W307" s="17" t="str">
        <f t="shared" si="3"/>
        <v>0.8888888889</v>
      </c>
      <c r="X307" s="17" t="str">
        <f t="shared" si="33"/>
        <v>0.3027027027</v>
      </c>
      <c r="Y307" s="17" t="str">
        <f t="shared" si="9"/>
        <v>5.357142857</v>
      </c>
      <c r="Z307" s="17" t="s">
        <v>34</v>
      </c>
      <c r="AA307" s="17" t="s">
        <v>34</v>
      </c>
      <c r="AB307" s="17" t="str">
        <f t="shared" ref="AB307:AB310" si="274">IF(Y307&lt;0.2,"Partial Discharges, ",IF(Y307&gt;1,"Thermal  Fault  &gt;700 c"))</f>
        <v>Thermal  Fault  &gt;700 c</v>
      </c>
      <c r="AC307" s="17" t="str">
        <f t="shared" si="5"/>
        <v>0.3027027027</v>
      </c>
      <c r="AD307" s="18" t="str">
        <f t="shared" si="10"/>
        <v>0.8888888889</v>
      </c>
      <c r="AE307" s="17" t="str">
        <f t="shared" si="6"/>
        <v>1.85528757</v>
      </c>
      <c r="AF307" s="17" t="str">
        <f t="shared" si="11"/>
        <v>0.21</v>
      </c>
      <c r="AG307" s="17" t="s">
        <v>30</v>
      </c>
      <c r="AH307" s="17" t="str">
        <f t="shared" si="247"/>
        <v>Arching</v>
      </c>
      <c r="AI307" s="17" t="str">
        <f t="shared" si="16"/>
        <v>Arching</v>
      </c>
      <c r="AJ307" s="17" t="str">
        <f t="shared" si="235"/>
        <v>Arching</v>
      </c>
    </row>
    <row r="308" ht="12.75" customHeight="1">
      <c r="A308" s="11">
        <v>306.0</v>
      </c>
      <c r="B308" s="14" t="s">
        <v>335</v>
      </c>
      <c r="C308" s="14" t="s">
        <v>82</v>
      </c>
      <c r="D308" s="14" t="s">
        <v>190</v>
      </c>
      <c r="E308" s="14" t="s">
        <v>258</v>
      </c>
      <c r="F308" s="14">
        <v>2012.0</v>
      </c>
      <c r="G308" s="17">
        <v>8.1</v>
      </c>
      <c r="H308" s="16">
        <v>11.825999999999999</v>
      </c>
      <c r="I308" s="16">
        <v>16838.766</v>
      </c>
      <c r="J308" s="16">
        <v>61545.986999999994</v>
      </c>
      <c r="K308" s="16">
        <v>172.692</v>
      </c>
      <c r="L308" s="16">
        <v>1784.5109999999997</v>
      </c>
      <c r="M308" s="16">
        <v>10.125</v>
      </c>
      <c r="N308" s="16">
        <v>6.08</v>
      </c>
      <c r="O308" s="16">
        <v>8.0</v>
      </c>
      <c r="P308" s="16">
        <v>9.0</v>
      </c>
      <c r="Q308" s="17" t="str">
        <f t="shared" si="1"/>
        <v>1.125</v>
      </c>
      <c r="R308" s="17" t="str">
        <f t="shared" si="2"/>
        <v>0.8561643836</v>
      </c>
      <c r="S308" s="17" t="str">
        <f t="shared" si="8"/>
        <v>1.315789474</v>
      </c>
      <c r="T308" s="17" t="s">
        <v>30</v>
      </c>
      <c r="U308" s="17" t="s">
        <v>31</v>
      </c>
      <c r="V308" s="17" t="s">
        <v>37</v>
      </c>
      <c r="W308" s="17" t="str">
        <f t="shared" si="3"/>
        <v>1.125</v>
      </c>
      <c r="X308" s="17" t="str">
        <f t="shared" si="33"/>
        <v>0.8561643836</v>
      </c>
      <c r="Y308" s="17" t="str">
        <f t="shared" si="9"/>
        <v>1.315789474</v>
      </c>
      <c r="Z308" s="17" t="str">
        <f>IF(W308&gt;1,"Discharge of Low Energy,  ",IF(W308&lt;0.1,"Thermal  Fault&gt; 300c and&lt;700 c"))</f>
        <v>Discharge of Low Energy,  </v>
      </c>
      <c r="AA308" s="17" t="s">
        <v>34</v>
      </c>
      <c r="AB308" s="17" t="str">
        <f t="shared" si="274"/>
        <v>Thermal  Fault  &gt;700 c</v>
      </c>
      <c r="AC308" s="17" t="str">
        <f t="shared" si="5"/>
        <v>0.8561643836</v>
      </c>
      <c r="AD308" s="18" t="str">
        <f t="shared" si="10"/>
        <v>1.125</v>
      </c>
      <c r="AE308" s="17" t="str">
        <f t="shared" si="6"/>
        <v>0.8888888889</v>
      </c>
      <c r="AF308" s="17" t="str">
        <f t="shared" si="11"/>
        <v>0.6755555556</v>
      </c>
      <c r="AG308" s="17" t="s">
        <v>30</v>
      </c>
      <c r="AH308" s="17" t="str">
        <f t="shared" si="247"/>
        <v>Arching</v>
      </c>
      <c r="AI308" s="17" t="str">
        <f t="shared" si="16"/>
        <v>Arching</v>
      </c>
      <c r="AJ308" s="17" t="str">
        <f t="shared" si="235"/>
        <v>Thermal Decomposition,corona </v>
      </c>
    </row>
    <row r="309" ht="12.75" customHeight="1">
      <c r="A309" s="11">
        <v>307.0</v>
      </c>
      <c r="B309" s="14" t="s">
        <v>336</v>
      </c>
      <c r="C309" s="14" t="s">
        <v>82</v>
      </c>
      <c r="D309" s="14" t="s">
        <v>190</v>
      </c>
      <c r="E309" s="14" t="s">
        <v>258</v>
      </c>
      <c r="F309" s="14">
        <v>2012.0</v>
      </c>
      <c r="G309" s="17">
        <v>7.9</v>
      </c>
      <c r="H309" s="16">
        <v>8.058000000000002</v>
      </c>
      <c r="I309" s="16">
        <v>16166.323</v>
      </c>
      <c r="J309" s="16">
        <v>60722.638999999996</v>
      </c>
      <c r="K309" s="16">
        <v>120.15900000000002</v>
      </c>
      <c r="L309" s="16">
        <v>1334.7839999999999</v>
      </c>
      <c r="M309" s="16">
        <v>5.372</v>
      </c>
      <c r="N309" s="16">
        <v>5.0</v>
      </c>
      <c r="O309" s="16">
        <v>7.0</v>
      </c>
      <c r="P309" s="16">
        <v>5.0</v>
      </c>
      <c r="Q309" s="17" t="str">
        <f t="shared" si="1"/>
        <v>0.7142857143</v>
      </c>
      <c r="R309" s="17" t="str">
        <f t="shared" si="2"/>
        <v>0.6666666667</v>
      </c>
      <c r="S309" s="17" t="str">
        <f t="shared" si="8"/>
        <v>1.4</v>
      </c>
      <c r="T309" s="17" t="str">
        <f t="shared" ref="T309:T312" si="275">IF(Q309&lt;1,"Partial discharge,Low Temprature thermal fault,")</f>
        <v>Partial discharge,Low Temprature thermal fault,</v>
      </c>
      <c r="U309" s="17" t="s">
        <v>31</v>
      </c>
      <c r="V309" s="17" t="s">
        <v>37</v>
      </c>
      <c r="W309" s="17" t="str">
        <f t="shared" si="3"/>
        <v>0.7142857143</v>
      </c>
      <c r="X309" s="17" t="str">
        <f t="shared" si="33"/>
        <v>0.6666666667</v>
      </c>
      <c r="Y309" s="17" t="str">
        <f t="shared" si="9"/>
        <v>1.4</v>
      </c>
      <c r="Z309" s="17" t="s">
        <v>34</v>
      </c>
      <c r="AA309" s="17" t="s">
        <v>34</v>
      </c>
      <c r="AB309" s="17" t="str">
        <f t="shared" si="274"/>
        <v>Thermal  Fault  &gt;700 c</v>
      </c>
      <c r="AC309" s="17" t="str">
        <f t="shared" si="5"/>
        <v>0.6666666667</v>
      </c>
      <c r="AD309" s="18" t="str">
        <f t="shared" si="10"/>
        <v>0.7142857143</v>
      </c>
      <c r="AE309" s="17" t="str">
        <f t="shared" si="6"/>
        <v>0.9307520477</v>
      </c>
      <c r="AF309" s="17" t="str">
        <f t="shared" si="11"/>
        <v>1</v>
      </c>
      <c r="AG309" s="17" t="s">
        <v>30</v>
      </c>
      <c r="AH309" s="17" t="str">
        <f t="shared" si="247"/>
        <v>Thermal Decomposition, </v>
      </c>
      <c r="AI309" s="17" t="str">
        <f t="shared" si="16"/>
        <v>Arching</v>
      </c>
      <c r="AJ309" s="17" t="str">
        <f t="shared" si="235"/>
        <v>Thermal Decomposition,corona </v>
      </c>
    </row>
    <row r="310" ht="12.75" customHeight="1">
      <c r="A310" s="11">
        <v>308.0</v>
      </c>
      <c r="B310" s="13" t="s">
        <v>336</v>
      </c>
      <c r="C310" s="14" t="s">
        <v>82</v>
      </c>
      <c r="D310" s="14" t="s">
        <v>190</v>
      </c>
      <c r="E310" s="14" t="s">
        <v>258</v>
      </c>
      <c r="F310" s="14">
        <v>2012.0</v>
      </c>
      <c r="G310" s="17">
        <v>8.2</v>
      </c>
      <c r="H310" s="16">
        <v>16.317999999999998</v>
      </c>
      <c r="I310" s="16">
        <v>16310.702000000001</v>
      </c>
      <c r="J310" s="16">
        <v>62119.509999999995</v>
      </c>
      <c r="K310" s="16">
        <v>215.74199999999996</v>
      </c>
      <c r="L310" s="16">
        <v>2287.472</v>
      </c>
      <c r="M310" s="16">
        <v>10.823999999999998</v>
      </c>
      <c r="N310" s="16">
        <v>11.397999999999998</v>
      </c>
      <c r="O310" s="16">
        <v>18.942</v>
      </c>
      <c r="P310" s="16">
        <v>18.0</v>
      </c>
      <c r="Q310" s="17" t="str">
        <f t="shared" si="1"/>
        <v>0.950269243</v>
      </c>
      <c r="R310" s="17" t="str">
        <f t="shared" si="2"/>
        <v>0.6633165829</v>
      </c>
      <c r="S310" s="17" t="str">
        <f t="shared" si="8"/>
        <v>1.661870504</v>
      </c>
      <c r="T310" s="17" t="str">
        <f t="shared" si="275"/>
        <v>Partial discharge,Low Temprature thermal fault,</v>
      </c>
      <c r="U310" s="17" t="s">
        <v>31</v>
      </c>
      <c r="V310" s="17" t="s">
        <v>37</v>
      </c>
      <c r="W310" s="17" t="str">
        <f t="shared" si="3"/>
        <v>0.950269243</v>
      </c>
      <c r="X310" s="17" t="str">
        <f t="shared" si="33"/>
        <v>0.6633165829</v>
      </c>
      <c r="Y310" s="17" t="str">
        <f t="shared" si="9"/>
        <v>1.661870504</v>
      </c>
      <c r="Z310" s="17" t="s">
        <v>34</v>
      </c>
      <c r="AA310" s="17" t="s">
        <v>34</v>
      </c>
      <c r="AB310" s="17" t="str">
        <f t="shared" si="274"/>
        <v>Thermal  Fault  &gt;700 c</v>
      </c>
      <c r="AC310" s="17" t="str">
        <f t="shared" si="5"/>
        <v>0.6633165829</v>
      </c>
      <c r="AD310" s="18" t="str">
        <f t="shared" si="10"/>
        <v>0.950269243</v>
      </c>
      <c r="AE310" s="17" t="str">
        <f t="shared" si="6"/>
        <v>1.662971175</v>
      </c>
      <c r="AF310" s="17" t="str">
        <f t="shared" si="11"/>
        <v>0.6332222222</v>
      </c>
      <c r="AG310" s="17" t="s">
        <v>30</v>
      </c>
      <c r="AH310" s="17" t="str">
        <f t="shared" si="247"/>
        <v>Arching</v>
      </c>
      <c r="AI310" s="17" t="str">
        <f t="shared" si="16"/>
        <v>Arching</v>
      </c>
      <c r="AJ310" s="17" t="str">
        <f t="shared" si="235"/>
        <v>Thermal Decomposition,corona </v>
      </c>
    </row>
    <row r="311" ht="12.75" customHeight="1">
      <c r="A311" s="11">
        <v>309.0</v>
      </c>
      <c r="B311" s="14" t="s">
        <v>337</v>
      </c>
      <c r="C311" s="14" t="s">
        <v>82</v>
      </c>
      <c r="D311" s="14" t="s">
        <v>190</v>
      </c>
      <c r="E311" s="14" t="s">
        <v>179</v>
      </c>
      <c r="F311" s="14">
        <v>2011.0</v>
      </c>
      <c r="G311" s="17">
        <v>7.9</v>
      </c>
      <c r="H311" s="16">
        <v>6.7940000000000005</v>
      </c>
      <c r="I311" s="16">
        <v>15845.425</v>
      </c>
      <c r="J311" s="16">
        <v>60160.475000000006</v>
      </c>
      <c r="K311" s="16">
        <v>183.675</v>
      </c>
      <c r="L311" s="16">
        <v>1868.6660000000004</v>
      </c>
      <c r="M311" s="16">
        <v>6.0040000000000004</v>
      </c>
      <c r="N311" s="16">
        <v>9.0</v>
      </c>
      <c r="O311" s="16">
        <v>7.583999999999999</v>
      </c>
      <c r="P311" s="16">
        <v>7.0</v>
      </c>
      <c r="Q311" s="17" t="str">
        <f t="shared" si="1"/>
        <v>0.9229957806</v>
      </c>
      <c r="R311" s="17" t="str">
        <f t="shared" si="2"/>
        <v>0.8837209302</v>
      </c>
      <c r="S311" s="17" t="str">
        <f t="shared" si="8"/>
        <v>0.8426666667</v>
      </c>
      <c r="T311" s="17" t="str">
        <f t="shared" si="275"/>
        <v>Partial discharge,Low Temprature thermal fault,</v>
      </c>
      <c r="U311" s="17" t="s">
        <v>31</v>
      </c>
      <c r="V311" s="17" t="str">
        <f t="shared" ref="V311:V313" si="276">IF(S311&lt;1,"Partial discharge, Normal ",IF(S311&gt;3,"Arching,Thermal  Fault &gt; 700 c"))</f>
        <v>Partial discharge, Normal </v>
      </c>
      <c r="W311" s="17" t="str">
        <f t="shared" si="3"/>
        <v>0.9229957806</v>
      </c>
      <c r="X311" s="17" t="str">
        <f t="shared" si="33"/>
        <v>0.8837209302</v>
      </c>
      <c r="Y311" s="17" t="str">
        <f t="shared" si="9"/>
        <v>0.8426666667</v>
      </c>
      <c r="Z311" s="17" t="s">
        <v>34</v>
      </c>
      <c r="AA311" s="17" t="s">
        <v>34</v>
      </c>
      <c r="AB311" s="17" t="s">
        <v>107</v>
      </c>
      <c r="AC311" s="17" t="str">
        <f t="shared" si="5"/>
        <v>0.8837209302</v>
      </c>
      <c r="AD311" s="18" t="str">
        <f t="shared" si="10"/>
        <v>0.9229957806</v>
      </c>
      <c r="AE311" s="17" t="str">
        <f t="shared" si="6"/>
        <v>1.165889407</v>
      </c>
      <c r="AF311" s="17" t="str">
        <f t="shared" si="11"/>
        <v>1.285714286</v>
      </c>
      <c r="AG311" s="17" t="s">
        <v>30</v>
      </c>
      <c r="AH311" s="17" t="str">
        <f t="shared" si="247"/>
        <v>Arching</v>
      </c>
      <c r="AI311" s="17" t="str">
        <f t="shared" si="16"/>
        <v>Arching</v>
      </c>
      <c r="AJ311" s="17" t="str">
        <f t="shared" si="235"/>
        <v>Thermal Decomposition,corona </v>
      </c>
    </row>
    <row r="312" ht="12.75" customHeight="1">
      <c r="A312" s="11">
        <v>310.0</v>
      </c>
      <c r="B312" s="14" t="s">
        <v>337</v>
      </c>
      <c r="C312" s="14" t="s">
        <v>82</v>
      </c>
      <c r="D312" s="14" t="s">
        <v>190</v>
      </c>
      <c r="E312" s="14" t="s">
        <v>179</v>
      </c>
      <c r="F312" s="14">
        <v>2011.0</v>
      </c>
      <c r="G312" s="17">
        <v>8.4</v>
      </c>
      <c r="H312" s="16">
        <v>3.024</v>
      </c>
      <c r="I312" s="16">
        <v>17283.420000000002</v>
      </c>
      <c r="J312" s="16">
        <v>64249.668000000005</v>
      </c>
      <c r="K312" s="16">
        <v>126.168</v>
      </c>
      <c r="L312" s="16">
        <v>1334.676</v>
      </c>
      <c r="M312" s="16">
        <v>3.864</v>
      </c>
      <c r="N312" s="16">
        <v>8.0</v>
      </c>
      <c r="O312" s="16">
        <v>7.140000000000001</v>
      </c>
      <c r="P312" s="16">
        <v>7.0</v>
      </c>
      <c r="Q312" s="17" t="str">
        <f t="shared" si="1"/>
        <v>0.9803921569</v>
      </c>
      <c r="R312" s="17" t="str">
        <f t="shared" si="2"/>
        <v>1.277777778</v>
      </c>
      <c r="S312" s="17" t="str">
        <f t="shared" si="8"/>
        <v>0.8925</v>
      </c>
      <c r="T312" s="17" t="str">
        <f t="shared" si="275"/>
        <v>Partial discharge,Low Temprature thermal fault,</v>
      </c>
      <c r="U312" s="17" t="str">
        <f>IF(R312&gt;1,"Thermal Fault &lt;700c, thermal fault &gt;700c ")</f>
        <v>Thermal Fault &lt;700c, thermal fault &gt;700c </v>
      </c>
      <c r="V312" s="17" t="str">
        <f t="shared" si="276"/>
        <v>Partial discharge, Normal </v>
      </c>
      <c r="W312" s="17" t="str">
        <f t="shared" si="3"/>
        <v>0.9803921569</v>
      </c>
      <c r="X312" s="17" t="str">
        <f t="shared" si="33"/>
        <v>1.277777778</v>
      </c>
      <c r="Y312" s="17" t="str">
        <f t="shared" si="9"/>
        <v>0.8925</v>
      </c>
      <c r="Z312" s="17" t="s">
        <v>34</v>
      </c>
      <c r="AA312" s="17" t="str">
        <f>IF(X312&lt;0.1,"Partial Discharges, ",IF(X312&gt;1,"Thermal  Fault &gt;300c and&lt;700 and &gt;700 c"))</f>
        <v>Thermal  Fault &gt;300c and&lt;700 and &gt;700 c</v>
      </c>
      <c r="AB312" s="17" t="s">
        <v>107</v>
      </c>
      <c r="AC312" s="17" t="str">
        <f t="shared" si="5"/>
        <v>1.277777778</v>
      </c>
      <c r="AD312" s="18" t="str">
        <f t="shared" si="10"/>
        <v>0.9803921569</v>
      </c>
      <c r="AE312" s="17" t="str">
        <f t="shared" si="6"/>
        <v>1.811594203</v>
      </c>
      <c r="AF312" s="17" t="str">
        <f t="shared" si="11"/>
        <v>1.142857143</v>
      </c>
      <c r="AG312" s="17" t="str">
        <f>IF(AC312&gt;1,"Thermal Decomposition, ",IF(AC312&lt;0.1,"Corona,Arching"))</f>
        <v>Thermal Decomposition, </v>
      </c>
      <c r="AH312" s="17" t="str">
        <f t="shared" si="247"/>
        <v>Arching</v>
      </c>
      <c r="AI312" s="17" t="str">
        <f t="shared" si="16"/>
        <v>Arching</v>
      </c>
      <c r="AJ312" s="17" t="str">
        <f t="shared" si="235"/>
        <v>Thermal Decomposition,corona </v>
      </c>
    </row>
    <row r="313" ht="12.75" customHeight="1">
      <c r="A313" s="11">
        <v>311.0</v>
      </c>
      <c r="B313" s="13" t="s">
        <v>338</v>
      </c>
      <c r="C313" s="13" t="s">
        <v>82</v>
      </c>
      <c r="D313" s="13" t="s">
        <v>190</v>
      </c>
      <c r="E313" s="13" t="s">
        <v>258</v>
      </c>
      <c r="F313" s="14">
        <v>2012.0</v>
      </c>
      <c r="G313" s="25">
        <v>8.4</v>
      </c>
      <c r="H313" s="16">
        <v>8.063999999999998</v>
      </c>
      <c r="I313" s="16">
        <v>17142.3</v>
      </c>
      <c r="J313" s="16">
        <v>64570.38</v>
      </c>
      <c r="K313" s="16">
        <v>94.33200000000001</v>
      </c>
      <c r="L313" s="16">
        <v>1037.904</v>
      </c>
      <c r="M313" s="16">
        <v>7.140000000000001</v>
      </c>
      <c r="N313" s="16">
        <v>8.0</v>
      </c>
      <c r="O313" s="16">
        <v>1.932</v>
      </c>
      <c r="P313" s="16">
        <v>7.0</v>
      </c>
      <c r="Q313" s="17" t="str">
        <f t="shared" si="1"/>
        <v>3.623188406</v>
      </c>
      <c r="R313" s="17" t="str">
        <f t="shared" si="2"/>
        <v>0.8854166667</v>
      </c>
      <c r="S313" s="17" t="str">
        <f t="shared" si="8"/>
        <v>0.2415</v>
      </c>
      <c r="T313" s="17" t="s">
        <v>30</v>
      </c>
      <c r="U313" s="17" t="s">
        <v>31</v>
      </c>
      <c r="V313" s="17" t="str">
        <f t="shared" si="276"/>
        <v>Partial discharge, Normal </v>
      </c>
      <c r="W313" s="17" t="str">
        <f t="shared" si="3"/>
        <v>3.623188406</v>
      </c>
      <c r="X313" s="17" t="str">
        <f t="shared" si="33"/>
        <v>0.8854166667</v>
      </c>
      <c r="Y313" s="17" t="str">
        <f t="shared" si="9"/>
        <v>0.2415</v>
      </c>
      <c r="Z313" s="17" t="str">
        <f t="shared" ref="Z313:Z314" si="277">IF(W313&gt;1,"Discharge of Low Energy,  ",IF(W313&lt;0.1,"Thermal  Fault&gt; 300c and&lt;700 c"))</f>
        <v>Discharge of Low Energy,  </v>
      </c>
      <c r="AA313" s="17" t="s">
        <v>34</v>
      </c>
      <c r="AB313" s="17" t="s">
        <v>107</v>
      </c>
      <c r="AC313" s="17" t="str">
        <f t="shared" si="5"/>
        <v>0.8854166667</v>
      </c>
      <c r="AD313" s="18" t="str">
        <f t="shared" si="10"/>
        <v>3.623188406</v>
      </c>
      <c r="AE313" s="17" t="str">
        <f t="shared" si="6"/>
        <v>0.9803921569</v>
      </c>
      <c r="AF313" s="17" t="str">
        <f t="shared" si="11"/>
        <v>1.142857143</v>
      </c>
      <c r="AG313" s="17" t="s">
        <v>30</v>
      </c>
      <c r="AH313" s="17" t="str">
        <f t="shared" si="247"/>
        <v>Arching</v>
      </c>
      <c r="AI313" s="17" t="str">
        <f t="shared" si="16"/>
        <v>Arching</v>
      </c>
      <c r="AJ313" s="17" t="str">
        <f t="shared" si="235"/>
        <v>Thermal Decomposition,corona </v>
      </c>
    </row>
    <row r="314" ht="12.75" customHeight="1">
      <c r="A314" s="11">
        <v>312.0</v>
      </c>
      <c r="B314" s="13" t="s">
        <v>338</v>
      </c>
      <c r="C314" s="13" t="s">
        <v>82</v>
      </c>
      <c r="D314" s="13" t="s">
        <v>190</v>
      </c>
      <c r="E314" s="13" t="s">
        <v>258</v>
      </c>
      <c r="F314" s="14">
        <v>2012.0</v>
      </c>
      <c r="G314" s="17">
        <v>8.3</v>
      </c>
      <c r="H314" s="16">
        <v>18.675</v>
      </c>
      <c r="I314" s="16">
        <v>17516.652</v>
      </c>
      <c r="J314" s="16">
        <v>62295.318</v>
      </c>
      <c r="K314" s="16">
        <v>196.295</v>
      </c>
      <c r="L314" s="16">
        <v>2063.795</v>
      </c>
      <c r="M314" s="16">
        <v>5.229</v>
      </c>
      <c r="N314" s="16">
        <v>2.49</v>
      </c>
      <c r="O314" s="16">
        <v>6.0</v>
      </c>
      <c r="P314" s="16">
        <v>8.0</v>
      </c>
      <c r="Q314" s="17" t="str">
        <f t="shared" si="1"/>
        <v>1.333333333</v>
      </c>
      <c r="R314" s="17" t="str">
        <f t="shared" si="2"/>
        <v>0.28</v>
      </c>
      <c r="S314" s="17" t="str">
        <f t="shared" si="8"/>
        <v>2.409638554</v>
      </c>
      <c r="T314" s="17" t="s">
        <v>30</v>
      </c>
      <c r="U314" s="17" t="s">
        <v>31</v>
      </c>
      <c r="V314" s="17" t="s">
        <v>37</v>
      </c>
      <c r="W314" s="17" t="str">
        <f t="shared" si="3"/>
        <v>1.333333333</v>
      </c>
      <c r="X314" s="17" t="str">
        <f t="shared" si="33"/>
        <v>0.28</v>
      </c>
      <c r="Y314" s="17" t="str">
        <f t="shared" si="9"/>
        <v>2.409638554</v>
      </c>
      <c r="Z314" s="17" t="str">
        <f t="shared" si="277"/>
        <v>Discharge of Low Energy,  </v>
      </c>
      <c r="AA314" s="17" t="s">
        <v>34</v>
      </c>
      <c r="AB314" s="17" t="str">
        <f>IF(Y314&lt;0.2,"Partial Discharges, ",IF(Y314&gt;1,"Thermal  Fault  &gt;700 c"))</f>
        <v>Thermal  Fault  &gt;700 c</v>
      </c>
      <c r="AC314" s="17" t="str">
        <f t="shared" si="5"/>
        <v>0.28</v>
      </c>
      <c r="AD314" s="18" t="str">
        <f t="shared" si="10"/>
        <v>1.333333333</v>
      </c>
      <c r="AE314" s="17" t="str">
        <f t="shared" si="6"/>
        <v>1.529929241</v>
      </c>
      <c r="AF314" s="17" t="str">
        <f t="shared" si="11"/>
        <v>0.31125</v>
      </c>
      <c r="AG314" s="17" t="s">
        <v>30</v>
      </c>
      <c r="AH314" s="17" t="str">
        <f t="shared" si="247"/>
        <v>Arching</v>
      </c>
      <c r="AI314" s="17" t="str">
        <f t="shared" si="16"/>
        <v>Arching</v>
      </c>
      <c r="AJ314" s="17" t="str">
        <f t="shared" si="235"/>
        <v>Arching</v>
      </c>
    </row>
    <row r="315" ht="12.75" customHeight="1">
      <c r="A315" s="11">
        <v>313.0</v>
      </c>
      <c r="B315" s="14" t="s">
        <v>339</v>
      </c>
      <c r="C315" s="14" t="s">
        <v>82</v>
      </c>
      <c r="D315" s="14" t="s">
        <v>190</v>
      </c>
      <c r="E315" s="14" t="s">
        <v>179</v>
      </c>
      <c r="F315" s="14">
        <v>2011.0</v>
      </c>
      <c r="G315" s="17">
        <v>8.1</v>
      </c>
      <c r="H315" s="16">
        <v>12.636</v>
      </c>
      <c r="I315" s="16">
        <v>16761.572999999997</v>
      </c>
      <c r="J315" s="16">
        <v>61533.51299999999</v>
      </c>
      <c r="K315" s="16">
        <v>125.145</v>
      </c>
      <c r="L315" s="16">
        <v>1368.009</v>
      </c>
      <c r="M315" s="16">
        <v>4.536</v>
      </c>
      <c r="N315" s="16">
        <v>9.0</v>
      </c>
      <c r="O315" s="16">
        <v>8.0</v>
      </c>
      <c r="P315" s="16">
        <v>5.0</v>
      </c>
      <c r="Q315" s="17" t="str">
        <f t="shared" si="1"/>
        <v>0.625</v>
      </c>
      <c r="R315" s="17" t="str">
        <f t="shared" si="2"/>
        <v>0.358974359</v>
      </c>
      <c r="S315" s="17" t="str">
        <f t="shared" si="8"/>
        <v>0.8888888889</v>
      </c>
      <c r="T315" s="17" t="str">
        <f>IF(Q315&lt;1,"Partial discharge,Low Temprature thermal fault,")</f>
        <v>Partial discharge,Low Temprature thermal fault,</v>
      </c>
      <c r="U315" s="17" t="s">
        <v>31</v>
      </c>
      <c r="V315" s="17" t="str">
        <f t="shared" ref="V315:V316" si="278">IF(S315&lt;1,"Partial discharge, Normal ",IF(S315&gt;3,"Arching,Thermal  Fault &gt; 700 c"))</f>
        <v>Partial discharge, Normal </v>
      </c>
      <c r="W315" s="17" t="str">
        <f t="shared" si="3"/>
        <v>0.625</v>
      </c>
      <c r="X315" s="17" t="str">
        <f t="shared" si="33"/>
        <v>0.358974359</v>
      </c>
      <c r="Y315" s="17" t="str">
        <f t="shared" si="9"/>
        <v>0.8888888889</v>
      </c>
      <c r="Z315" s="17" t="s">
        <v>34</v>
      </c>
      <c r="AA315" s="17" t="s">
        <v>34</v>
      </c>
      <c r="AB315" s="17" t="s">
        <v>107</v>
      </c>
      <c r="AC315" s="17" t="str">
        <f t="shared" si="5"/>
        <v>0.358974359</v>
      </c>
      <c r="AD315" s="18" t="str">
        <f t="shared" si="10"/>
        <v>0.625</v>
      </c>
      <c r="AE315" s="17" t="str">
        <f t="shared" si="6"/>
        <v>1.102292769</v>
      </c>
      <c r="AF315" s="17" t="str">
        <f t="shared" si="11"/>
        <v>1.8</v>
      </c>
      <c r="AG315" s="17" t="s">
        <v>30</v>
      </c>
      <c r="AH315" s="17" t="str">
        <f t="shared" si="247"/>
        <v>Thermal Decomposition, </v>
      </c>
      <c r="AI315" s="17" t="str">
        <f t="shared" si="16"/>
        <v>Arching</v>
      </c>
      <c r="AJ315" s="17" t="str">
        <f t="shared" si="235"/>
        <v>Thermal Decomposition,corona </v>
      </c>
    </row>
    <row r="316" ht="12.75" customHeight="1">
      <c r="A316" s="11">
        <v>314.0</v>
      </c>
      <c r="B316" s="13" t="s">
        <v>339</v>
      </c>
      <c r="C316" s="13" t="s">
        <v>82</v>
      </c>
      <c r="D316" s="13" t="s">
        <v>190</v>
      </c>
      <c r="E316" s="13" t="s">
        <v>179</v>
      </c>
      <c r="F316" s="14">
        <v>2011.0</v>
      </c>
      <c r="G316" s="17">
        <v>8.3</v>
      </c>
      <c r="H316" s="16">
        <v>7.0550000000000015</v>
      </c>
      <c r="I316" s="16">
        <v>16852.652000000002</v>
      </c>
      <c r="J316" s="16">
        <v>63844.76200000002</v>
      </c>
      <c r="K316" s="16">
        <v>157.285</v>
      </c>
      <c r="L316" s="16">
        <v>1657.344</v>
      </c>
      <c r="M316" s="16">
        <v>5.644</v>
      </c>
      <c r="N316" s="16">
        <v>7.0</v>
      </c>
      <c r="O316" s="16">
        <v>5.0</v>
      </c>
      <c r="P316" s="16">
        <v>9.0</v>
      </c>
      <c r="Q316" s="17" t="str">
        <f t="shared" si="1"/>
        <v>1.8</v>
      </c>
      <c r="R316" s="17" t="str">
        <f t="shared" si="2"/>
        <v>0.8</v>
      </c>
      <c r="S316" s="17" t="str">
        <f t="shared" si="8"/>
        <v>0.7142857143</v>
      </c>
      <c r="T316" s="17" t="s">
        <v>30</v>
      </c>
      <c r="U316" s="17" t="s">
        <v>31</v>
      </c>
      <c r="V316" s="17" t="str">
        <f t="shared" si="278"/>
        <v>Partial discharge, Normal </v>
      </c>
      <c r="W316" s="17" t="str">
        <f t="shared" si="3"/>
        <v>1.8</v>
      </c>
      <c r="X316" s="17" t="str">
        <f t="shared" si="33"/>
        <v>0.8</v>
      </c>
      <c r="Y316" s="17" t="str">
        <f t="shared" si="9"/>
        <v>0.7142857143</v>
      </c>
      <c r="Z316" s="17" t="str">
        <f t="shared" ref="Z316:Z317" si="279">IF(W316&gt;1,"Discharge of Low Energy,  ",IF(W316&lt;0.1,"Thermal  Fault&gt; 300c and&lt;700 c"))</f>
        <v>Discharge of Low Energy,  </v>
      </c>
      <c r="AA316" s="17" t="s">
        <v>34</v>
      </c>
      <c r="AB316" s="17" t="s">
        <v>107</v>
      </c>
      <c r="AC316" s="17" t="str">
        <f t="shared" si="5"/>
        <v>0.8</v>
      </c>
      <c r="AD316" s="18" t="str">
        <f t="shared" si="10"/>
        <v>1.8</v>
      </c>
      <c r="AE316" s="17" t="str">
        <f t="shared" si="6"/>
        <v>1.594613749</v>
      </c>
      <c r="AF316" s="17" t="str">
        <f t="shared" si="11"/>
        <v>0.7777777778</v>
      </c>
      <c r="AG316" s="17" t="s">
        <v>30</v>
      </c>
      <c r="AH316" s="17" t="str">
        <f t="shared" si="247"/>
        <v>Arching</v>
      </c>
      <c r="AI316" s="17" t="str">
        <f t="shared" si="16"/>
        <v>Arching</v>
      </c>
      <c r="AJ316" s="17" t="str">
        <f t="shared" si="235"/>
        <v>Thermal Decomposition,corona </v>
      </c>
    </row>
    <row r="317" ht="12.75" customHeight="1">
      <c r="A317" s="11">
        <v>315.0</v>
      </c>
      <c r="B317" s="13" t="s">
        <v>340</v>
      </c>
      <c r="C317" s="13" t="s">
        <v>82</v>
      </c>
      <c r="D317" s="13" t="s">
        <v>190</v>
      </c>
      <c r="E317" s="13" t="s">
        <v>179</v>
      </c>
      <c r="F317" s="14">
        <v>2005.0</v>
      </c>
      <c r="G317" s="17">
        <v>8.1</v>
      </c>
      <c r="H317" s="16">
        <v>5.103</v>
      </c>
      <c r="I317" s="16">
        <v>16379.576999999997</v>
      </c>
      <c r="J317" s="16">
        <v>62425.161</v>
      </c>
      <c r="K317" s="16">
        <v>115.10100000000001</v>
      </c>
      <c r="L317" s="16">
        <v>1244.3220000000001</v>
      </c>
      <c r="M317" s="16">
        <v>5.265</v>
      </c>
      <c r="N317" s="16">
        <v>6.0</v>
      </c>
      <c r="O317" s="16">
        <v>6.0</v>
      </c>
      <c r="P317" s="16">
        <v>7.0</v>
      </c>
      <c r="Q317" s="17" t="str">
        <f t="shared" si="1"/>
        <v>1.166666667</v>
      </c>
      <c r="R317" s="17" t="str">
        <f t="shared" si="2"/>
        <v>1.031746032</v>
      </c>
      <c r="S317" s="17" t="str">
        <f t="shared" si="8"/>
        <v>1</v>
      </c>
      <c r="T317" s="17" t="s">
        <v>30</v>
      </c>
      <c r="U317" s="17" t="str">
        <f>IF(R317&gt;1,"Thermal Fault &lt;700c, thermal fault &gt;700c ")</f>
        <v>Thermal Fault &lt;700c, thermal fault &gt;700c </v>
      </c>
      <c r="V317" s="17" t="s">
        <v>37</v>
      </c>
      <c r="W317" s="17" t="str">
        <f t="shared" si="3"/>
        <v>1.166666667</v>
      </c>
      <c r="X317" s="17" t="str">
        <f t="shared" si="33"/>
        <v>1.031746032</v>
      </c>
      <c r="Y317" s="17" t="str">
        <f t="shared" si="9"/>
        <v>1</v>
      </c>
      <c r="Z317" s="17" t="str">
        <f t="shared" si="279"/>
        <v>Discharge of Low Energy,  </v>
      </c>
      <c r="AA317" s="17" t="str">
        <f>IF(X317&lt;0.1,"Partial Discharges, ",IF(X317&gt;1,"Thermal  Fault &gt;300c and&lt;700 and &gt;700 c"))</f>
        <v>Thermal  Fault &gt;300c and&lt;700 and &gt;700 c</v>
      </c>
      <c r="AB317" s="17" t="s">
        <v>107</v>
      </c>
      <c r="AC317" s="17" t="str">
        <f t="shared" si="5"/>
        <v>1.031746032</v>
      </c>
      <c r="AD317" s="18" t="str">
        <f t="shared" si="10"/>
        <v>1.166666667</v>
      </c>
      <c r="AE317" s="17" t="str">
        <f t="shared" si="6"/>
        <v>1.329534663</v>
      </c>
      <c r="AF317" s="17" t="str">
        <f t="shared" si="11"/>
        <v>0.8571428571</v>
      </c>
      <c r="AG317" s="17" t="str">
        <f>IF(AC317&gt;1,"Thermal Decomposition, ",IF(AC317&lt;0.1,"Corona,Arching"))</f>
        <v>Thermal Decomposition, </v>
      </c>
      <c r="AH317" s="17" t="str">
        <f t="shared" si="247"/>
        <v>Arching</v>
      </c>
      <c r="AI317" s="17" t="str">
        <f t="shared" si="16"/>
        <v>Arching</v>
      </c>
      <c r="AJ317" s="17" t="str">
        <f t="shared" si="235"/>
        <v>Thermal Decomposition,corona </v>
      </c>
    </row>
    <row r="318" ht="12.75" customHeight="1">
      <c r="A318" s="11">
        <v>316.0</v>
      </c>
      <c r="B318" s="13" t="s">
        <v>341</v>
      </c>
      <c r="C318" s="13" t="s">
        <v>99</v>
      </c>
      <c r="D318" s="13" t="s">
        <v>190</v>
      </c>
      <c r="E318" s="13" t="s">
        <v>258</v>
      </c>
      <c r="F318" s="14">
        <v>2017.0</v>
      </c>
      <c r="G318" s="17">
        <v>7.6</v>
      </c>
      <c r="H318" s="16">
        <v>5.244</v>
      </c>
      <c r="I318" s="16">
        <v>14309.812</v>
      </c>
      <c r="J318" s="16">
        <v>60073.06</v>
      </c>
      <c r="K318" s="16">
        <v>91.352</v>
      </c>
      <c r="L318" s="16">
        <v>1053.056</v>
      </c>
      <c r="M318" s="16">
        <v>2.7359999999999998</v>
      </c>
      <c r="N318" s="16">
        <v>10.0</v>
      </c>
      <c r="O318" s="16">
        <v>8.0</v>
      </c>
      <c r="P318" s="16">
        <v>4.0</v>
      </c>
      <c r="Q318" s="17" t="str">
        <f t="shared" si="1"/>
        <v>0.5</v>
      </c>
      <c r="R318" s="17" t="str">
        <f t="shared" si="2"/>
        <v>0.5217391304</v>
      </c>
      <c r="S318" s="17" t="str">
        <f t="shared" si="8"/>
        <v>0.8</v>
      </c>
      <c r="T318" s="17" t="str">
        <f t="shared" ref="T318:T319" si="280">IF(Q318&lt;1,"Partial discharge,Low Temprature thermal fault,")</f>
        <v>Partial discharge,Low Temprature thermal fault,</v>
      </c>
      <c r="U318" s="17" t="s">
        <v>31</v>
      </c>
      <c r="V318" s="17" t="str">
        <f t="shared" ref="V318:V323" si="281">IF(S318&lt;1,"Partial discharge, Normal ",IF(S318&gt;3,"Arching,Thermal  Fault &gt; 700 c"))</f>
        <v>Partial discharge, Normal </v>
      </c>
      <c r="W318" s="17" t="str">
        <f t="shared" si="3"/>
        <v>0.5</v>
      </c>
      <c r="X318" s="17" t="str">
        <f t="shared" si="33"/>
        <v>0.5217391304</v>
      </c>
      <c r="Y318" s="17" t="str">
        <f t="shared" si="9"/>
        <v>0.8</v>
      </c>
      <c r="Z318" s="17" t="s">
        <v>34</v>
      </c>
      <c r="AA318" s="17" t="s">
        <v>34</v>
      </c>
      <c r="AB318" s="17" t="s">
        <v>107</v>
      </c>
      <c r="AC318" s="17" t="str">
        <f t="shared" si="5"/>
        <v>0.5217391304</v>
      </c>
      <c r="AD318" s="18" t="str">
        <f t="shared" si="10"/>
        <v>0.5</v>
      </c>
      <c r="AE318" s="17" t="str">
        <f t="shared" si="6"/>
        <v>1.461988304</v>
      </c>
      <c r="AF318" s="17" t="str">
        <f t="shared" si="11"/>
        <v>2.5</v>
      </c>
      <c r="AG318" s="17" t="s">
        <v>30</v>
      </c>
      <c r="AH318" s="17" t="str">
        <f t="shared" si="247"/>
        <v>Thermal Decomposition, </v>
      </c>
      <c r="AI318" s="17" t="str">
        <f t="shared" si="16"/>
        <v>Arching</v>
      </c>
      <c r="AJ318" s="17" t="str">
        <f t="shared" si="235"/>
        <v>Thermal Decomposition,corona </v>
      </c>
    </row>
    <row r="319" ht="12.75" customHeight="1">
      <c r="A319" s="11">
        <v>317.0</v>
      </c>
      <c r="B319" s="13" t="s">
        <v>342</v>
      </c>
      <c r="C319" s="13" t="s">
        <v>99</v>
      </c>
      <c r="D319" s="13" t="s">
        <v>190</v>
      </c>
      <c r="E319" s="13" t="s">
        <v>258</v>
      </c>
      <c r="F319" s="14">
        <v>2018.0</v>
      </c>
      <c r="G319" s="17">
        <v>7.8</v>
      </c>
      <c r="H319" s="16">
        <v>16.692</v>
      </c>
      <c r="I319" s="16">
        <v>15681.978000000001</v>
      </c>
      <c r="J319" s="16">
        <v>60270.21</v>
      </c>
      <c r="K319" s="16">
        <v>106.782</v>
      </c>
      <c r="L319" s="16">
        <v>1179.594</v>
      </c>
      <c r="M319" s="16">
        <v>7.487999999999999</v>
      </c>
      <c r="N319" s="16">
        <v>11.0</v>
      </c>
      <c r="O319" s="16">
        <v>4.056</v>
      </c>
      <c r="P319" s="16">
        <v>3.0</v>
      </c>
      <c r="Q319" s="17" t="str">
        <f t="shared" si="1"/>
        <v>0.7396449704</v>
      </c>
      <c r="R319" s="17" t="str">
        <f t="shared" si="2"/>
        <v>0.4485981308</v>
      </c>
      <c r="S319" s="17" t="str">
        <f t="shared" si="8"/>
        <v>0.3687272727</v>
      </c>
      <c r="T319" s="17" t="str">
        <f t="shared" si="280"/>
        <v>Partial discharge,Low Temprature thermal fault,</v>
      </c>
      <c r="U319" s="17" t="s">
        <v>31</v>
      </c>
      <c r="V319" s="17" t="str">
        <f t="shared" si="281"/>
        <v>Partial discharge, Normal </v>
      </c>
      <c r="W319" s="17" t="str">
        <f t="shared" si="3"/>
        <v>0.7396449704</v>
      </c>
      <c r="X319" s="17" t="str">
        <f t="shared" si="33"/>
        <v>0.4485981308</v>
      </c>
      <c r="Y319" s="17" t="str">
        <f t="shared" si="9"/>
        <v>0.3687272727</v>
      </c>
      <c r="Z319" s="17" t="s">
        <v>34</v>
      </c>
      <c r="AA319" s="17" t="s">
        <v>34</v>
      </c>
      <c r="AB319" s="17" t="s">
        <v>107</v>
      </c>
      <c r="AC319" s="17" t="str">
        <f t="shared" si="5"/>
        <v>0.4485981308</v>
      </c>
      <c r="AD319" s="18" t="str">
        <f t="shared" si="10"/>
        <v>0.7396449704</v>
      </c>
      <c r="AE319" s="17" t="str">
        <f t="shared" si="6"/>
        <v>0.4006410256</v>
      </c>
      <c r="AF319" s="17" t="str">
        <f t="shared" si="11"/>
        <v>3.666666667</v>
      </c>
      <c r="AG319" s="17" t="s">
        <v>30</v>
      </c>
      <c r="AH319" s="17" t="str">
        <f t="shared" si="247"/>
        <v>Thermal Decomposition, </v>
      </c>
      <c r="AI319" s="17" t="str">
        <f t="shared" si="16"/>
        <v>Arching</v>
      </c>
      <c r="AJ319" s="17" t="str">
        <f t="shared" si="235"/>
        <v>Thermal Decomposition,corona </v>
      </c>
    </row>
    <row r="320" ht="12.75" customHeight="1">
      <c r="A320" s="11">
        <v>318.0</v>
      </c>
      <c r="B320" s="13">
        <v>38431.0</v>
      </c>
      <c r="C320" s="13" t="s">
        <v>40</v>
      </c>
      <c r="D320" s="13" t="s">
        <v>190</v>
      </c>
      <c r="E320" s="13" t="s">
        <v>343</v>
      </c>
      <c r="F320" s="14">
        <v>1989.0</v>
      </c>
      <c r="G320" s="17">
        <v>8.1</v>
      </c>
      <c r="H320" s="16">
        <v>5.7509999999999994</v>
      </c>
      <c r="I320" s="16">
        <v>15356.142</v>
      </c>
      <c r="J320" s="16">
        <v>63576.657</v>
      </c>
      <c r="K320" s="16">
        <v>129.762</v>
      </c>
      <c r="L320" s="16">
        <v>1406.5649999999998</v>
      </c>
      <c r="M320" s="16">
        <v>7.2090000000000005</v>
      </c>
      <c r="N320" s="16">
        <v>9.0</v>
      </c>
      <c r="O320" s="16">
        <v>5.103</v>
      </c>
      <c r="P320" s="16">
        <v>8.0</v>
      </c>
      <c r="Q320" s="17" t="str">
        <f t="shared" si="1"/>
        <v>1.567705271</v>
      </c>
      <c r="R320" s="17" t="str">
        <f t="shared" si="2"/>
        <v>1.253521127</v>
      </c>
      <c r="S320" s="17" t="str">
        <f t="shared" si="8"/>
        <v>0.567</v>
      </c>
      <c r="T320" s="17" t="s">
        <v>30</v>
      </c>
      <c r="U320" s="17" t="str">
        <f>IF(R320&gt;1,"Thermal Fault &lt;700c, thermal fault &gt;700c ")</f>
        <v>Thermal Fault &lt;700c, thermal fault &gt;700c </v>
      </c>
      <c r="V320" s="17" t="str">
        <f t="shared" si="281"/>
        <v>Partial discharge, Normal </v>
      </c>
      <c r="W320" s="17" t="str">
        <f t="shared" si="3"/>
        <v>1.567705271</v>
      </c>
      <c r="X320" s="17" t="str">
        <f t="shared" si="33"/>
        <v>1.253521127</v>
      </c>
      <c r="Y320" s="17" t="str">
        <f t="shared" si="9"/>
        <v>0.567</v>
      </c>
      <c r="Z320" s="17" t="str">
        <f t="shared" ref="Z320:Z323" si="282">IF(W320&gt;1,"Discharge of Low Energy,  ",IF(W320&lt;0.1,"Thermal  Fault&gt; 300c and&lt;700 c"))</f>
        <v>Discharge of Low Energy,  </v>
      </c>
      <c r="AA320" s="17" t="str">
        <f>IF(X320&lt;0.1,"Partial Discharges, ",IF(X320&gt;1,"Thermal  Fault &gt;300c and&lt;700 and &gt;700 c"))</f>
        <v>Thermal  Fault &gt;300c and&lt;700 and &gt;700 c</v>
      </c>
      <c r="AB320" s="17" t="s">
        <v>107</v>
      </c>
      <c r="AC320" s="17" t="str">
        <f t="shared" si="5"/>
        <v>1.253521127</v>
      </c>
      <c r="AD320" s="18" t="str">
        <f t="shared" si="10"/>
        <v>1.567705271</v>
      </c>
      <c r="AE320" s="17" t="str">
        <f t="shared" si="6"/>
        <v>1.109723956</v>
      </c>
      <c r="AF320" s="17" t="str">
        <f t="shared" si="11"/>
        <v>1.125</v>
      </c>
      <c r="AG320" s="17" t="str">
        <f>IF(AC320&gt;1,"Thermal Decomposition, ",IF(AC320&lt;0.1,"Corona,Arching"))</f>
        <v>Thermal Decomposition, </v>
      </c>
      <c r="AH320" s="17" t="str">
        <f t="shared" si="247"/>
        <v>Arching</v>
      </c>
      <c r="AI320" s="17" t="str">
        <f t="shared" si="16"/>
        <v>Arching</v>
      </c>
      <c r="AJ320" s="17" t="str">
        <f t="shared" si="235"/>
        <v>Thermal Decomposition,corona </v>
      </c>
    </row>
    <row r="321" ht="12.75" customHeight="1">
      <c r="A321" s="11">
        <v>319.0</v>
      </c>
      <c r="B321" s="13" t="s">
        <v>344</v>
      </c>
      <c r="C321" s="13" t="s">
        <v>40</v>
      </c>
      <c r="D321" s="13" t="s">
        <v>190</v>
      </c>
      <c r="E321" s="13" t="s">
        <v>102</v>
      </c>
      <c r="F321" s="13">
        <v>1996.0</v>
      </c>
      <c r="G321" s="17">
        <v>8.4</v>
      </c>
      <c r="H321" s="16">
        <v>33.264</v>
      </c>
      <c r="I321" s="16">
        <v>13310.304</v>
      </c>
      <c r="J321" s="16">
        <v>67392.024</v>
      </c>
      <c r="K321" s="16">
        <v>218.652</v>
      </c>
      <c r="L321" s="16">
        <v>2284.464</v>
      </c>
      <c r="M321" s="16">
        <v>20.748</v>
      </c>
      <c r="N321" s="16">
        <v>7.476000000000001</v>
      </c>
      <c r="O321" s="16">
        <v>29.904000000000003</v>
      </c>
      <c r="P321" s="16">
        <v>34.0</v>
      </c>
      <c r="Q321" s="17" t="str">
        <f t="shared" si="1"/>
        <v>1.136971643</v>
      </c>
      <c r="R321" s="17" t="str">
        <f t="shared" si="2"/>
        <v>0.6237373737</v>
      </c>
      <c r="S321" s="17" t="str">
        <f t="shared" si="8"/>
        <v>4</v>
      </c>
      <c r="T321" s="17" t="s">
        <v>30</v>
      </c>
      <c r="U321" s="17" t="s">
        <v>31</v>
      </c>
      <c r="V321" s="17" t="str">
        <f t="shared" si="281"/>
        <v>Arching,Thermal  Fault &gt; 700 c</v>
      </c>
      <c r="W321" s="17" t="str">
        <f t="shared" si="3"/>
        <v>1.136971643</v>
      </c>
      <c r="X321" s="17" t="str">
        <f t="shared" si="33"/>
        <v>0.6237373737</v>
      </c>
      <c r="Y321" s="17" t="str">
        <f t="shared" si="9"/>
        <v>4</v>
      </c>
      <c r="Z321" s="17" t="str">
        <f t="shared" si="282"/>
        <v>Discharge of Low Energy,  </v>
      </c>
      <c r="AA321" s="17" t="s">
        <v>34</v>
      </c>
      <c r="AB321" s="17" t="str">
        <f>IF(Y321&lt;0.2,"Partial Discharges, ",IF(Y321&gt;1,"Thermal  Fault  &gt;700 c"))</f>
        <v>Thermal  Fault  &gt;700 c</v>
      </c>
      <c r="AC321" s="17" t="str">
        <f t="shared" si="5"/>
        <v>0.6237373737</v>
      </c>
      <c r="AD321" s="18" t="str">
        <f t="shared" si="10"/>
        <v>1.136971643</v>
      </c>
      <c r="AE321" s="17" t="str">
        <f t="shared" si="6"/>
        <v>1.638712165</v>
      </c>
      <c r="AF321" s="17" t="str">
        <f t="shared" si="11"/>
        <v>0.2198823529</v>
      </c>
      <c r="AG321" s="17" t="s">
        <v>30</v>
      </c>
      <c r="AH321" s="17" t="str">
        <f t="shared" si="247"/>
        <v>Arching</v>
      </c>
      <c r="AI321" s="17" t="str">
        <f t="shared" si="16"/>
        <v>Arching</v>
      </c>
      <c r="AJ321" s="17" t="str">
        <f t="shared" si="235"/>
        <v>Arching</v>
      </c>
    </row>
    <row r="322" ht="12.75" customHeight="1">
      <c r="A322" s="11">
        <v>320.0</v>
      </c>
      <c r="B322" s="13" t="s">
        <v>345</v>
      </c>
      <c r="C322" s="13" t="s">
        <v>82</v>
      </c>
      <c r="D322" s="13" t="s">
        <v>190</v>
      </c>
      <c r="E322" s="13" t="s">
        <v>102</v>
      </c>
      <c r="F322" s="14">
        <v>2006.0</v>
      </c>
      <c r="G322" s="17">
        <v>8.1</v>
      </c>
      <c r="H322" s="16">
        <v>13.121999999999998</v>
      </c>
      <c r="I322" s="16">
        <v>15160.850999999999</v>
      </c>
      <c r="J322" s="16">
        <v>62896.58099999999</v>
      </c>
      <c r="K322" s="16">
        <v>194.724</v>
      </c>
      <c r="L322" s="16">
        <v>2067.3629999999994</v>
      </c>
      <c r="M322" s="16">
        <v>8.0</v>
      </c>
      <c r="N322" s="16">
        <v>8.0</v>
      </c>
      <c r="O322" s="16">
        <v>5.0</v>
      </c>
      <c r="P322" s="19">
        <v>8.0</v>
      </c>
      <c r="Q322" s="17" t="str">
        <f t="shared" si="1"/>
        <v>1.6</v>
      </c>
      <c r="R322" s="17" t="str">
        <f t="shared" si="2"/>
        <v>0.6096631611</v>
      </c>
      <c r="S322" s="17" t="str">
        <f t="shared" si="8"/>
        <v>0.625</v>
      </c>
      <c r="T322" s="17" t="s">
        <v>30</v>
      </c>
      <c r="U322" s="17" t="str">
        <f>IF(R322&lt;0.1, "Partial discharge", "Low temperature thermal ")</f>
        <v>Low temperature thermal </v>
      </c>
      <c r="V322" s="17" t="str">
        <f t="shared" si="281"/>
        <v>Partial discharge, Normal </v>
      </c>
      <c r="W322" s="17" t="str">
        <f t="shared" si="3"/>
        <v>1.6</v>
      </c>
      <c r="X322" s="17" t="str">
        <f t="shared" si="33"/>
        <v>0.6096631611</v>
      </c>
      <c r="Y322" s="17" t="str">
        <f t="shared" si="9"/>
        <v>0.625</v>
      </c>
      <c r="Z322" s="17" t="str">
        <f t="shared" si="282"/>
        <v>Discharge of Low Energy,  </v>
      </c>
      <c r="AA322" s="17" t="s">
        <v>34</v>
      </c>
      <c r="AB322" s="17" t="s">
        <v>107</v>
      </c>
      <c r="AC322" s="17" t="str">
        <f t="shared" si="5"/>
        <v>0.6096631611</v>
      </c>
      <c r="AD322" s="18" t="str">
        <f t="shared" si="10"/>
        <v>1.6</v>
      </c>
      <c r="AE322" s="17" t="str">
        <f t="shared" si="6"/>
        <v>1</v>
      </c>
      <c r="AF322" s="17" t="str">
        <f t="shared" si="11"/>
        <v>1</v>
      </c>
      <c r="AG322" s="17" t="s">
        <v>30</v>
      </c>
      <c r="AH322" s="17" t="str">
        <f t="shared" si="247"/>
        <v>Arching</v>
      </c>
      <c r="AI322" s="17" t="str">
        <f t="shared" si="16"/>
        <v>Arching</v>
      </c>
      <c r="AJ322" s="17" t="str">
        <f t="shared" si="235"/>
        <v>Thermal Decomposition,corona </v>
      </c>
    </row>
    <row r="323" ht="12.75" customHeight="1">
      <c r="A323" s="11">
        <v>321.0</v>
      </c>
      <c r="B323" s="21" t="s">
        <v>346</v>
      </c>
      <c r="C323" s="21" t="s">
        <v>40</v>
      </c>
      <c r="D323" s="21" t="s">
        <v>347</v>
      </c>
      <c r="E323" s="21" t="s">
        <v>106</v>
      </c>
      <c r="F323" s="21">
        <v>2008.0</v>
      </c>
      <c r="G323" s="17">
        <v>8.3</v>
      </c>
      <c r="H323" s="16">
        <v>2.9050000000000002</v>
      </c>
      <c r="I323" s="16">
        <v>16016.344000000001</v>
      </c>
      <c r="J323" s="16">
        <v>63385.191000000006</v>
      </c>
      <c r="K323" s="16">
        <v>246.178</v>
      </c>
      <c r="L323" s="16">
        <v>2563.455</v>
      </c>
      <c r="M323" s="16">
        <v>2.6560000000000006</v>
      </c>
      <c r="N323" s="16">
        <v>9.0</v>
      </c>
      <c r="O323" s="16">
        <v>7.0</v>
      </c>
      <c r="P323" s="19">
        <v>9.0</v>
      </c>
      <c r="Q323" s="17" t="str">
        <f t="shared" si="1"/>
        <v>1.285714286</v>
      </c>
      <c r="R323" s="17" t="str">
        <f t="shared" si="2"/>
        <v>0.9142857143</v>
      </c>
      <c r="S323" s="17" t="str">
        <f t="shared" si="8"/>
        <v>0.7777777778</v>
      </c>
      <c r="T323" s="17" t="s">
        <v>30</v>
      </c>
      <c r="U323" s="17" t="s">
        <v>31</v>
      </c>
      <c r="V323" s="17" t="str">
        <f t="shared" si="281"/>
        <v>Partial discharge, Normal </v>
      </c>
      <c r="W323" s="17" t="str">
        <f t="shared" si="3"/>
        <v>1.285714286</v>
      </c>
      <c r="X323" s="17" t="str">
        <f t="shared" si="33"/>
        <v>0.9142857143</v>
      </c>
      <c r="Y323" s="17" t="str">
        <f t="shared" si="9"/>
        <v>0.7777777778</v>
      </c>
      <c r="Z323" s="17" t="str">
        <f t="shared" si="282"/>
        <v>Discharge of Low Energy,  </v>
      </c>
      <c r="AA323" s="17" t="s">
        <v>34</v>
      </c>
      <c r="AB323" s="17" t="s">
        <v>107</v>
      </c>
      <c r="AC323" s="17" t="str">
        <f t="shared" si="5"/>
        <v>0.9142857143</v>
      </c>
      <c r="AD323" s="18" t="str">
        <f t="shared" si="10"/>
        <v>1.285714286</v>
      </c>
      <c r="AE323" s="17" t="str">
        <f t="shared" si="6"/>
        <v>3.388554217</v>
      </c>
      <c r="AF323" s="17" t="str">
        <f t="shared" si="11"/>
        <v>1</v>
      </c>
      <c r="AG323" s="17" t="s">
        <v>30</v>
      </c>
      <c r="AH323" s="17" t="str">
        <f t="shared" si="247"/>
        <v>Arching</v>
      </c>
      <c r="AI323" s="17" t="str">
        <f t="shared" si="16"/>
        <v>Arching</v>
      </c>
      <c r="AJ323" s="17" t="str">
        <f t="shared" si="235"/>
        <v>Thermal Decomposition,corona </v>
      </c>
    </row>
    <row r="324" ht="12.75" customHeight="1">
      <c r="A324" s="11">
        <v>322.0</v>
      </c>
      <c r="B324" s="21" t="s">
        <v>346</v>
      </c>
      <c r="C324" s="21" t="s">
        <v>40</v>
      </c>
      <c r="D324" s="21" t="s">
        <v>347</v>
      </c>
      <c r="E324" s="21" t="s">
        <v>106</v>
      </c>
      <c r="F324" s="21">
        <v>2008.0</v>
      </c>
      <c r="G324" s="17">
        <v>8.5</v>
      </c>
      <c r="H324" s="16">
        <v>2.125</v>
      </c>
      <c r="I324" s="16">
        <v>16181.025</v>
      </c>
      <c r="J324" s="16">
        <v>64755.380000000005</v>
      </c>
      <c r="K324" s="16">
        <v>257.72</v>
      </c>
      <c r="L324" s="16">
        <v>2693.565</v>
      </c>
      <c r="M324" s="16">
        <v>2.72</v>
      </c>
      <c r="N324" s="16">
        <v>5.0</v>
      </c>
      <c r="O324" s="16">
        <v>9.0</v>
      </c>
      <c r="P324" s="16">
        <v>5.0</v>
      </c>
      <c r="Q324" s="17" t="str">
        <f t="shared" si="1"/>
        <v>0.5555555556</v>
      </c>
      <c r="R324" s="17" t="str">
        <f t="shared" si="2"/>
        <v>1.28</v>
      </c>
      <c r="S324" s="17" t="str">
        <f t="shared" si="8"/>
        <v>1.8</v>
      </c>
      <c r="T324" s="17" t="str">
        <f>IF(Q324&lt;1,"Partial discharge,Low Temprature thermal fault,")</f>
        <v>Partial discharge,Low Temprature thermal fault,</v>
      </c>
      <c r="U324" s="17" t="str">
        <f>IF(R324&gt;1,"Thermal Fault &lt;700c, thermal fault &gt;700c ")</f>
        <v>Thermal Fault &lt;700c, thermal fault &gt;700c </v>
      </c>
      <c r="V324" s="17" t="s">
        <v>37</v>
      </c>
      <c r="W324" s="17" t="str">
        <f t="shared" si="3"/>
        <v>0.5555555556</v>
      </c>
      <c r="X324" s="17" t="str">
        <f t="shared" si="33"/>
        <v>1.28</v>
      </c>
      <c r="Y324" s="17" t="str">
        <f t="shared" si="9"/>
        <v>1.8</v>
      </c>
      <c r="Z324" s="17" t="s">
        <v>34</v>
      </c>
      <c r="AA324" s="17" t="str">
        <f>IF(X324&lt;0.1,"Partial Discharges, ",IF(X324&gt;1,"Thermal  Fault &gt;300c and&lt;700 and &gt;700 c"))</f>
        <v>Thermal  Fault &gt;300c and&lt;700 and &gt;700 c</v>
      </c>
      <c r="AB324" s="17" t="str">
        <f>IF(Y324&lt;0.2,"Partial Discharges, ",IF(Y324&gt;1,"Thermal  Fault  &gt;700 c"))</f>
        <v>Thermal  Fault  &gt;700 c</v>
      </c>
      <c r="AC324" s="17" t="str">
        <f t="shared" si="5"/>
        <v>1.28</v>
      </c>
      <c r="AD324" s="18" t="str">
        <f t="shared" si="10"/>
        <v>0.5555555556</v>
      </c>
      <c r="AE324" s="17" t="str">
        <f t="shared" si="6"/>
        <v>1.838235294</v>
      </c>
      <c r="AF324" s="17" t="str">
        <f t="shared" si="11"/>
        <v>1</v>
      </c>
      <c r="AG324" s="17" t="str">
        <f>IF(AC324&gt;1,"Thermal Decomposition, ",IF(AC324&lt;0.1,"Corona,Arching"))</f>
        <v>Thermal Decomposition, </v>
      </c>
      <c r="AH324" s="17" t="str">
        <f t="shared" si="247"/>
        <v>Thermal Decomposition, </v>
      </c>
      <c r="AI324" s="17" t="str">
        <f t="shared" si="16"/>
        <v>Arching</v>
      </c>
      <c r="AJ324" s="17" t="str">
        <f t="shared" si="235"/>
        <v>Thermal Decomposition,corona </v>
      </c>
    </row>
    <row r="325" ht="12.75" customHeight="1">
      <c r="A325" s="11">
        <v>323.0</v>
      </c>
      <c r="B325" s="21" t="s">
        <v>346</v>
      </c>
      <c r="C325" s="21" t="s">
        <v>40</v>
      </c>
      <c r="D325" s="21" t="s">
        <v>347</v>
      </c>
      <c r="E325" s="21" t="s">
        <v>106</v>
      </c>
      <c r="F325" s="21">
        <v>2008.0</v>
      </c>
      <c r="G325" s="17">
        <v>8.1</v>
      </c>
      <c r="H325" s="16">
        <v>7.776</v>
      </c>
      <c r="I325" s="16">
        <v>14971.311</v>
      </c>
      <c r="J325" s="16">
        <v>63932.08499999999</v>
      </c>
      <c r="K325" s="16">
        <v>96.87599999999999</v>
      </c>
      <c r="L325" s="16">
        <v>1025.298</v>
      </c>
      <c r="M325" s="16">
        <v>6.966</v>
      </c>
      <c r="N325" s="16">
        <v>6.0</v>
      </c>
      <c r="O325" s="16">
        <v>1.8629999999999998</v>
      </c>
      <c r="P325" s="16">
        <v>6.0</v>
      </c>
      <c r="Q325" s="17" t="str">
        <f t="shared" si="1"/>
        <v>3.220611916</v>
      </c>
      <c r="R325" s="17" t="str">
        <f t="shared" si="2"/>
        <v>0.8958333333</v>
      </c>
      <c r="S325" s="17" t="str">
        <f t="shared" si="8"/>
        <v>0.3105</v>
      </c>
      <c r="T325" s="17" t="s">
        <v>30</v>
      </c>
      <c r="U325" s="17" t="s">
        <v>31</v>
      </c>
      <c r="V325" s="17" t="str">
        <f t="shared" ref="V325:V329" si="283">IF(S325&lt;1,"Partial discharge, Normal ",IF(S325&gt;3,"Arching,Thermal  Fault &gt; 700 c"))</f>
        <v>Partial discharge, Normal </v>
      </c>
      <c r="W325" s="17" t="str">
        <f t="shared" si="3"/>
        <v>3.220611916</v>
      </c>
      <c r="X325" s="17" t="str">
        <f t="shared" si="33"/>
        <v>0.8958333333</v>
      </c>
      <c r="Y325" s="17" t="str">
        <f t="shared" si="9"/>
        <v>0.3105</v>
      </c>
      <c r="Z325" s="17" t="str">
        <f t="shared" ref="Z325:Z326" si="284">IF(W325&gt;1,"Discharge of Low Energy,  ",IF(W325&lt;0.1,"Thermal  Fault&gt; 300c and&lt;700 c"))</f>
        <v>Discharge of Low Energy,  </v>
      </c>
      <c r="AA325" s="17" t="s">
        <v>34</v>
      </c>
      <c r="AB325" s="17" t="s">
        <v>107</v>
      </c>
      <c r="AC325" s="17" t="str">
        <f t="shared" si="5"/>
        <v>0.8958333333</v>
      </c>
      <c r="AD325" s="18" t="str">
        <f t="shared" si="10"/>
        <v>3.220611916</v>
      </c>
      <c r="AE325" s="17" t="str">
        <f t="shared" si="6"/>
        <v>0.8613264427</v>
      </c>
      <c r="AF325" s="17" t="str">
        <f t="shared" si="11"/>
        <v>1</v>
      </c>
      <c r="AG325" s="17" t="s">
        <v>30</v>
      </c>
      <c r="AH325" s="17" t="str">
        <f t="shared" si="247"/>
        <v>Arching</v>
      </c>
      <c r="AI325" s="17" t="str">
        <f t="shared" si="16"/>
        <v>Arching</v>
      </c>
      <c r="AJ325" s="17" t="str">
        <f t="shared" si="235"/>
        <v>Thermal Decomposition,corona </v>
      </c>
    </row>
    <row r="326" ht="12.75" customHeight="1">
      <c r="A326" s="11">
        <v>324.0</v>
      </c>
      <c r="B326" s="19" t="s">
        <v>145</v>
      </c>
      <c r="C326" s="19" t="s">
        <v>136</v>
      </c>
      <c r="D326" s="19" t="s">
        <v>142</v>
      </c>
      <c r="E326" s="19" t="s">
        <v>138</v>
      </c>
      <c r="F326" s="17">
        <v>2012.0</v>
      </c>
      <c r="G326" s="17">
        <v>8.1</v>
      </c>
      <c r="H326" s="16">
        <v>4.6979999999999995</v>
      </c>
      <c r="I326" s="16">
        <v>15589.827</v>
      </c>
      <c r="J326" s="16">
        <v>63620.478</v>
      </c>
      <c r="K326" s="16">
        <v>64.96199999999999</v>
      </c>
      <c r="L326" s="16">
        <v>746.415</v>
      </c>
      <c r="M326" s="16">
        <v>3.9689999999999994</v>
      </c>
      <c r="N326" s="16">
        <v>9.0</v>
      </c>
      <c r="O326" s="16">
        <v>5.0</v>
      </c>
      <c r="P326" s="16">
        <v>7.0</v>
      </c>
      <c r="Q326" s="17" t="str">
        <f t="shared" si="1"/>
        <v>1.4</v>
      </c>
      <c r="R326" s="17" t="str">
        <f t="shared" si="2"/>
        <v>0.8448275862</v>
      </c>
      <c r="S326" s="17" t="str">
        <f t="shared" si="8"/>
        <v>0.5555555556</v>
      </c>
      <c r="T326" s="17" t="s">
        <v>30</v>
      </c>
      <c r="U326" s="17" t="s">
        <v>31</v>
      </c>
      <c r="V326" s="17" t="str">
        <f t="shared" si="283"/>
        <v>Partial discharge, Normal </v>
      </c>
      <c r="W326" s="17" t="str">
        <f t="shared" si="3"/>
        <v>1.4</v>
      </c>
      <c r="X326" s="17" t="str">
        <f t="shared" si="33"/>
        <v>0.8448275862</v>
      </c>
      <c r="Y326" s="17" t="str">
        <f t="shared" si="9"/>
        <v>0.5555555556</v>
      </c>
      <c r="Z326" s="17" t="str">
        <f t="shared" si="284"/>
        <v>Discharge of Low Energy,  </v>
      </c>
      <c r="AA326" s="17" t="s">
        <v>34</v>
      </c>
      <c r="AB326" s="17" t="s">
        <v>107</v>
      </c>
      <c r="AC326" s="17" t="str">
        <f t="shared" si="5"/>
        <v>0.8448275862</v>
      </c>
      <c r="AD326" s="18" t="str">
        <f t="shared" si="10"/>
        <v>1.4</v>
      </c>
      <c r="AE326" s="17" t="str">
        <f t="shared" si="6"/>
        <v>1.76366843</v>
      </c>
      <c r="AF326" s="17" t="str">
        <f t="shared" si="11"/>
        <v>1.285714286</v>
      </c>
      <c r="AG326" s="17" t="s">
        <v>30</v>
      </c>
      <c r="AH326" s="17" t="str">
        <f t="shared" si="247"/>
        <v>Arching</v>
      </c>
      <c r="AI326" s="17" t="str">
        <f t="shared" si="16"/>
        <v>Arching</v>
      </c>
      <c r="AJ326" s="17" t="str">
        <f t="shared" si="235"/>
        <v>Thermal Decomposition,corona </v>
      </c>
    </row>
    <row r="327" ht="12.75" customHeight="1">
      <c r="A327" s="11">
        <v>325.0</v>
      </c>
      <c r="B327" s="19" t="s">
        <v>143</v>
      </c>
      <c r="C327" s="19" t="s">
        <v>136</v>
      </c>
      <c r="D327" s="19" t="s">
        <v>142</v>
      </c>
      <c r="E327" s="19" t="s">
        <v>138</v>
      </c>
      <c r="F327" s="17">
        <v>2013.0</v>
      </c>
      <c r="G327" s="17">
        <v>8.3</v>
      </c>
      <c r="H327" s="16">
        <v>2.9050000000000002</v>
      </c>
      <c r="I327" s="16">
        <v>17068.203</v>
      </c>
      <c r="J327" s="16">
        <v>64381.523</v>
      </c>
      <c r="K327" s="16">
        <v>60.75600000000001</v>
      </c>
      <c r="L327" s="16">
        <v>633.705</v>
      </c>
      <c r="M327" s="16">
        <v>12.948</v>
      </c>
      <c r="N327" s="17">
        <v>7.0</v>
      </c>
      <c r="O327" s="16">
        <v>21.165</v>
      </c>
      <c r="P327" s="16">
        <v>14.0</v>
      </c>
      <c r="Q327" s="17" t="str">
        <f t="shared" si="1"/>
        <v>0.661469407</v>
      </c>
      <c r="R327" s="17" t="str">
        <f t="shared" si="2"/>
        <v>4.457142857</v>
      </c>
      <c r="S327" s="17" t="str">
        <f t="shared" si="8"/>
        <v>3.023571429</v>
      </c>
      <c r="T327" s="17" t="str">
        <f>IF(Q327&lt;1,"Partial discharge,Low Temprature thermal fault,")</f>
        <v>Partial discharge,Low Temprature thermal fault,</v>
      </c>
      <c r="U327" s="17" t="str">
        <f t="shared" ref="U327:U328" si="285">IF(R327&gt;1,"Thermal Fault &lt;700c, thermal fault &gt;700c ")</f>
        <v>Thermal Fault &lt;700c, thermal fault &gt;700c </v>
      </c>
      <c r="V327" s="17" t="str">
        <f t="shared" si="283"/>
        <v>Arching,Thermal  Fault &gt; 700 c</v>
      </c>
      <c r="W327" s="17" t="str">
        <f t="shared" si="3"/>
        <v>0.661469407</v>
      </c>
      <c r="X327" s="17" t="str">
        <f t="shared" si="33"/>
        <v>4.457142857</v>
      </c>
      <c r="Y327" s="17" t="str">
        <f t="shared" si="9"/>
        <v>3.023571429</v>
      </c>
      <c r="Z327" s="17" t="s">
        <v>34</v>
      </c>
      <c r="AA327" s="17" t="str">
        <f t="shared" ref="AA327:AA329" si="286">IF(X327&lt;0.1,"Partial Discharges, ",IF(X327&gt;1,"Thermal  Fault &gt;300c and&lt;700 and &gt;700 c"))</f>
        <v>Thermal  Fault &gt;300c and&lt;700 and &gt;700 c</v>
      </c>
      <c r="AB327" s="17" t="str">
        <f>IF(Y327&lt;0.2,"Partial Discharges, ",IF(Y327&gt;1,"Thermal  Fault  &gt;700 c"))</f>
        <v>Thermal  Fault  &gt;700 c</v>
      </c>
      <c r="AC327" s="17" t="str">
        <f t="shared" si="5"/>
        <v>4.457142857</v>
      </c>
      <c r="AD327" s="18" t="str">
        <f t="shared" si="10"/>
        <v>0.661469407</v>
      </c>
      <c r="AE327" s="17" t="str">
        <f t="shared" si="6"/>
        <v>1.081248069</v>
      </c>
      <c r="AF327" s="17" t="str">
        <f t="shared" si="11"/>
        <v>0.5</v>
      </c>
      <c r="AG327" s="17" t="str">
        <f t="shared" ref="AG327:AG329" si="287">IF(AC327&gt;1,"Thermal Decomposition, ",IF(AC327&lt;0.1,"Corona,Arching"))</f>
        <v>Thermal Decomposition, </v>
      </c>
      <c r="AH327" s="17" t="str">
        <f t="shared" si="247"/>
        <v>Thermal Decomposition, </v>
      </c>
      <c r="AI327" s="17" t="str">
        <f t="shared" si="16"/>
        <v>Arching</v>
      </c>
      <c r="AJ327" s="17" t="str">
        <f t="shared" si="235"/>
        <v>Thermal Decomposition,corona </v>
      </c>
    </row>
    <row r="328" ht="12.75" customHeight="1">
      <c r="A328" s="11">
        <v>326.0</v>
      </c>
      <c r="B328" s="19" t="s">
        <v>141</v>
      </c>
      <c r="C328" s="19" t="s">
        <v>136</v>
      </c>
      <c r="D328" s="19" t="s">
        <v>142</v>
      </c>
      <c r="E328" s="19" t="s">
        <v>138</v>
      </c>
      <c r="F328" s="17">
        <v>2012.0</v>
      </c>
      <c r="G328" s="17">
        <v>8.2</v>
      </c>
      <c r="H328" s="16">
        <v>5.248</v>
      </c>
      <c r="I328" s="16">
        <v>16043.053999999998</v>
      </c>
      <c r="J328" s="16">
        <v>64253.64199999999</v>
      </c>
      <c r="K328" s="16">
        <v>92.25</v>
      </c>
      <c r="L328" s="16">
        <v>1067.9679999999998</v>
      </c>
      <c r="M328" s="16">
        <v>9.184</v>
      </c>
      <c r="N328" s="16">
        <v>8.0</v>
      </c>
      <c r="O328" s="16">
        <v>1.886</v>
      </c>
      <c r="P328" s="16">
        <v>7.0</v>
      </c>
      <c r="Q328" s="17" t="str">
        <f t="shared" si="1"/>
        <v>3.711558855</v>
      </c>
      <c r="R328" s="17" t="str">
        <f t="shared" si="2"/>
        <v>1.75</v>
      </c>
      <c r="S328" s="17" t="str">
        <f t="shared" si="8"/>
        <v>0.23575</v>
      </c>
      <c r="T328" s="17" t="s">
        <v>30</v>
      </c>
      <c r="U328" s="17" t="str">
        <f t="shared" si="285"/>
        <v>Thermal Fault &lt;700c, thermal fault &gt;700c </v>
      </c>
      <c r="V328" s="17" t="str">
        <f t="shared" si="283"/>
        <v>Partial discharge, Normal </v>
      </c>
      <c r="W328" s="17" t="str">
        <f t="shared" si="3"/>
        <v>3.711558855</v>
      </c>
      <c r="X328" s="17" t="str">
        <f t="shared" si="33"/>
        <v>1.75</v>
      </c>
      <c r="Y328" s="17" t="str">
        <f t="shared" si="9"/>
        <v>0.23575</v>
      </c>
      <c r="Z328" s="17" t="str">
        <f>IF(W328&gt;1,"Discharge of Low Energy,  ",IF(W328&lt;0.1,"Thermal  Fault&gt; 300c and&lt;700 c"))</f>
        <v>Discharge of Low Energy,  </v>
      </c>
      <c r="AA328" s="17" t="str">
        <f t="shared" si="286"/>
        <v>Thermal  Fault &gt;300c and&lt;700 and &gt;700 c</v>
      </c>
      <c r="AB328" s="17" t="s">
        <v>107</v>
      </c>
      <c r="AC328" s="17" t="str">
        <f t="shared" si="5"/>
        <v>1.75</v>
      </c>
      <c r="AD328" s="18" t="str">
        <f t="shared" si="10"/>
        <v>3.711558855</v>
      </c>
      <c r="AE328" s="17" t="str">
        <f t="shared" si="6"/>
        <v>0.762195122</v>
      </c>
      <c r="AF328" s="17" t="str">
        <f t="shared" si="11"/>
        <v>1.142857143</v>
      </c>
      <c r="AG328" s="17" t="str">
        <f t="shared" si="287"/>
        <v>Thermal Decomposition, </v>
      </c>
      <c r="AH328" s="17" t="str">
        <f t="shared" si="247"/>
        <v>Arching</v>
      </c>
      <c r="AI328" s="17" t="str">
        <f t="shared" si="16"/>
        <v>Arching</v>
      </c>
      <c r="AJ328" s="17" t="str">
        <f t="shared" si="235"/>
        <v>Thermal Decomposition,corona </v>
      </c>
    </row>
    <row r="329" ht="12.75" customHeight="1">
      <c r="A329" s="11">
        <v>327.0</v>
      </c>
      <c r="B329" s="19" t="s">
        <v>135</v>
      </c>
      <c r="C329" s="19" t="s">
        <v>136</v>
      </c>
      <c r="D329" s="19" t="s">
        <v>137</v>
      </c>
      <c r="E329" s="19" t="s">
        <v>138</v>
      </c>
      <c r="F329" s="17">
        <v>2013.0</v>
      </c>
      <c r="G329" s="25">
        <v>8.0</v>
      </c>
      <c r="H329" s="16">
        <v>7.4399999999999995</v>
      </c>
      <c r="I329" s="16">
        <v>15229.439999999999</v>
      </c>
      <c r="J329" s="16">
        <v>63639.12</v>
      </c>
      <c r="K329" s="16">
        <v>52.480000000000004</v>
      </c>
      <c r="L329" s="16">
        <v>590.88</v>
      </c>
      <c r="M329" s="16">
        <v>8.0</v>
      </c>
      <c r="N329" s="16">
        <v>9.0</v>
      </c>
      <c r="O329" s="16">
        <v>8.0</v>
      </c>
      <c r="P329" s="16">
        <v>8.0</v>
      </c>
      <c r="Q329" s="17" t="str">
        <f t="shared" si="1"/>
        <v>1</v>
      </c>
      <c r="R329" s="17" t="str">
        <f t="shared" si="2"/>
        <v>1.075268817</v>
      </c>
      <c r="S329" s="17" t="str">
        <f t="shared" si="8"/>
        <v>0.8888888889</v>
      </c>
      <c r="T329" s="17" t="s">
        <v>30</v>
      </c>
      <c r="U329" s="17" t="str">
        <f>IF(R329&lt;0.1, "Partial discharge", "Low temperature thermal ")</f>
        <v>Low temperature thermal </v>
      </c>
      <c r="V329" s="17" t="str">
        <f t="shared" si="283"/>
        <v>Partial discharge, Normal </v>
      </c>
      <c r="W329" s="17" t="str">
        <f t="shared" si="3"/>
        <v>1</v>
      </c>
      <c r="X329" s="17" t="str">
        <f t="shared" si="33"/>
        <v>1.075268817</v>
      </c>
      <c r="Y329" s="17" t="str">
        <f t="shared" si="9"/>
        <v>0.8888888889</v>
      </c>
      <c r="Z329" s="17" t="s">
        <v>34</v>
      </c>
      <c r="AA329" s="17" t="str">
        <f t="shared" si="286"/>
        <v>Thermal  Fault &gt;300c and&lt;700 and &gt;700 c</v>
      </c>
      <c r="AB329" s="17" t="s">
        <v>107</v>
      </c>
      <c r="AC329" s="17" t="str">
        <f t="shared" si="5"/>
        <v>1.075268817</v>
      </c>
      <c r="AD329" s="18" t="str">
        <f t="shared" si="10"/>
        <v>1</v>
      </c>
      <c r="AE329" s="17" t="str">
        <f t="shared" si="6"/>
        <v>1</v>
      </c>
      <c r="AF329" s="17" t="str">
        <f t="shared" si="11"/>
        <v>1.125</v>
      </c>
      <c r="AG329" s="17" t="str">
        <f t="shared" si="287"/>
        <v>Thermal Decomposition, </v>
      </c>
      <c r="AH329" s="17" t="str">
        <f t="shared" si="247"/>
        <v>Arching</v>
      </c>
      <c r="AI329" s="17" t="str">
        <f t="shared" si="16"/>
        <v>Arching</v>
      </c>
      <c r="AJ329" s="17" t="str">
        <f t="shared" si="235"/>
        <v>Thermal Decomposition,corona </v>
      </c>
    </row>
    <row r="330" ht="12.75" customHeight="1">
      <c r="A330" s="11">
        <v>328.0</v>
      </c>
      <c r="B330" s="19" t="s">
        <v>139</v>
      </c>
      <c r="C330" s="19" t="s">
        <v>136</v>
      </c>
      <c r="D330" s="19" t="s">
        <v>137</v>
      </c>
      <c r="E330" s="19" t="s">
        <v>138</v>
      </c>
      <c r="F330" s="17">
        <v>2013.0</v>
      </c>
      <c r="G330" s="25">
        <v>8.2</v>
      </c>
      <c r="H330" s="16">
        <v>6.97</v>
      </c>
      <c r="I330" s="16">
        <v>16445.674</v>
      </c>
      <c r="J330" s="16">
        <v>64114.57000000001</v>
      </c>
      <c r="K330" s="16">
        <v>64.20599999999999</v>
      </c>
      <c r="L330" s="16">
        <v>709.4639999999999</v>
      </c>
      <c r="M330" s="16">
        <v>2.87</v>
      </c>
      <c r="N330" s="17">
        <v>7.0</v>
      </c>
      <c r="O330" s="16">
        <v>9.0</v>
      </c>
      <c r="P330" s="16">
        <v>5.0</v>
      </c>
      <c r="Q330" s="17" t="str">
        <f t="shared" si="1"/>
        <v>0.5555555556</v>
      </c>
      <c r="R330" s="17" t="str">
        <f t="shared" si="2"/>
        <v>0.4117647059</v>
      </c>
      <c r="S330" s="17" t="str">
        <f t="shared" si="8"/>
        <v>1.285714286</v>
      </c>
      <c r="T330" s="17" t="str">
        <f>IF(Q330&lt;1,"Partial discharge,Low Temprature thermal fault,")</f>
        <v>Partial discharge,Low Temprature thermal fault,</v>
      </c>
      <c r="U330" s="17" t="s">
        <v>31</v>
      </c>
      <c r="V330" s="17" t="s">
        <v>37</v>
      </c>
      <c r="W330" s="17" t="str">
        <f t="shared" si="3"/>
        <v>0.5555555556</v>
      </c>
      <c r="X330" s="17" t="str">
        <f t="shared" si="33"/>
        <v>0.4117647059</v>
      </c>
      <c r="Y330" s="17" t="str">
        <f t="shared" si="9"/>
        <v>1.285714286</v>
      </c>
      <c r="Z330" s="17" t="s">
        <v>34</v>
      </c>
      <c r="AA330" s="17" t="s">
        <v>34</v>
      </c>
      <c r="AB330" s="17" t="str">
        <f t="shared" ref="AB330:AB331" si="288">IF(Y330&lt;0.2,"Partial Discharges, ",IF(Y330&gt;1,"Thermal  Fault  &gt;700 c"))</f>
        <v>Thermal  Fault  &gt;700 c</v>
      </c>
      <c r="AC330" s="17" t="str">
        <f t="shared" si="5"/>
        <v>0.4117647059</v>
      </c>
      <c r="AD330" s="18" t="str">
        <f t="shared" si="10"/>
        <v>0.5555555556</v>
      </c>
      <c r="AE330" s="17" t="str">
        <f t="shared" si="6"/>
        <v>1.742160279</v>
      </c>
      <c r="AF330" s="17" t="str">
        <f t="shared" si="11"/>
        <v>1.4</v>
      </c>
      <c r="AG330" s="17" t="s">
        <v>30</v>
      </c>
      <c r="AH330" s="17" t="str">
        <f t="shared" si="247"/>
        <v>Thermal Decomposition, </v>
      </c>
      <c r="AI330" s="17" t="str">
        <f t="shared" si="16"/>
        <v>Arching</v>
      </c>
      <c r="AJ330" s="17" t="str">
        <f t="shared" si="235"/>
        <v>Thermal Decomposition,corona </v>
      </c>
    </row>
    <row r="331" ht="12.75" customHeight="1">
      <c r="A331" s="11">
        <v>329.0</v>
      </c>
      <c r="B331" s="19" t="s">
        <v>140</v>
      </c>
      <c r="C331" s="19" t="s">
        <v>136</v>
      </c>
      <c r="D331" s="19" t="s">
        <v>137</v>
      </c>
      <c r="E331" s="19" t="s">
        <v>138</v>
      </c>
      <c r="F331" s="17">
        <v>2013.0</v>
      </c>
      <c r="G331" s="17">
        <v>8.3</v>
      </c>
      <c r="H331" s="16">
        <v>7.885000000000001</v>
      </c>
      <c r="I331" s="16">
        <v>15948.035000000002</v>
      </c>
      <c r="J331" s="16">
        <v>65089.845</v>
      </c>
      <c r="K331" s="16">
        <v>61.83500000000001</v>
      </c>
      <c r="L331" s="16">
        <v>673.2960000000002</v>
      </c>
      <c r="M331" s="16">
        <v>4.648</v>
      </c>
      <c r="N331" s="16">
        <v>5.0</v>
      </c>
      <c r="O331" s="16">
        <v>6.0</v>
      </c>
      <c r="P331" s="16">
        <v>9.0</v>
      </c>
      <c r="Q331" s="17" t="str">
        <f t="shared" si="1"/>
        <v>1.5</v>
      </c>
      <c r="R331" s="17" t="str">
        <f t="shared" si="2"/>
        <v>0.5894736842</v>
      </c>
      <c r="S331" s="17" t="str">
        <f t="shared" si="8"/>
        <v>1.2</v>
      </c>
      <c r="T331" s="17" t="s">
        <v>30</v>
      </c>
      <c r="U331" s="17" t="s">
        <v>31</v>
      </c>
      <c r="V331" s="17" t="s">
        <v>37</v>
      </c>
      <c r="W331" s="17" t="str">
        <f t="shared" si="3"/>
        <v>1.5</v>
      </c>
      <c r="X331" s="17" t="str">
        <f t="shared" si="33"/>
        <v>0.5894736842</v>
      </c>
      <c r="Y331" s="17" t="str">
        <f t="shared" si="9"/>
        <v>1.2</v>
      </c>
      <c r="Z331" s="17" t="str">
        <f t="shared" ref="Z331:Z332" si="289">IF(W331&gt;1,"Discharge of Low Energy,  ",IF(W331&lt;0.1,"Thermal  Fault&gt; 300c and&lt;700 c"))</f>
        <v>Discharge of Low Energy,  </v>
      </c>
      <c r="AA331" s="17" t="s">
        <v>34</v>
      </c>
      <c r="AB331" s="17" t="str">
        <f t="shared" si="288"/>
        <v>Thermal  Fault  &gt;700 c</v>
      </c>
      <c r="AC331" s="17" t="str">
        <f t="shared" si="5"/>
        <v>0.5894736842</v>
      </c>
      <c r="AD331" s="18" t="str">
        <f t="shared" si="10"/>
        <v>1.5</v>
      </c>
      <c r="AE331" s="17" t="str">
        <f t="shared" si="6"/>
        <v>1.936316695</v>
      </c>
      <c r="AF331" s="17" t="str">
        <f t="shared" si="11"/>
        <v>0.5555555556</v>
      </c>
      <c r="AG331" s="17" t="s">
        <v>30</v>
      </c>
      <c r="AH331" s="17" t="str">
        <f t="shared" si="247"/>
        <v>Arching</v>
      </c>
      <c r="AI331" s="17" t="str">
        <f t="shared" si="16"/>
        <v>Arching</v>
      </c>
      <c r="AJ331" s="17" t="str">
        <f t="shared" si="235"/>
        <v>Thermal Decomposition,corona </v>
      </c>
    </row>
    <row r="332" ht="12.75" customHeight="1">
      <c r="A332" s="11">
        <v>330.0</v>
      </c>
      <c r="B332" s="19" t="s">
        <v>348</v>
      </c>
      <c r="C332" s="19" t="s">
        <v>82</v>
      </c>
      <c r="D332" s="17" t="s">
        <v>190</v>
      </c>
      <c r="E332" s="19" t="s">
        <v>349</v>
      </c>
      <c r="F332" s="17">
        <v>2015.0</v>
      </c>
      <c r="G332" s="17">
        <v>7.9</v>
      </c>
      <c r="H332" s="16">
        <v>6.7940000000000005</v>
      </c>
      <c r="I332" s="16">
        <v>15449.872</v>
      </c>
      <c r="J332" s="16">
        <v>59661.906</v>
      </c>
      <c r="K332" s="16">
        <v>244.031</v>
      </c>
      <c r="L332" s="16">
        <v>2619.324</v>
      </c>
      <c r="M332" s="16">
        <v>9.401000000000002</v>
      </c>
      <c r="N332" s="16">
        <v>9.0</v>
      </c>
      <c r="O332" s="16">
        <v>5.0</v>
      </c>
      <c r="P332" s="16">
        <v>7.0</v>
      </c>
      <c r="Q332" s="17" t="str">
        <f t="shared" si="1"/>
        <v>1.4</v>
      </c>
      <c r="R332" s="17" t="str">
        <f t="shared" si="2"/>
        <v>1.38372093</v>
      </c>
      <c r="S332" s="17" t="str">
        <f t="shared" si="8"/>
        <v>0.5555555556</v>
      </c>
      <c r="T332" s="17" t="s">
        <v>30</v>
      </c>
      <c r="U332" s="17" t="str">
        <f t="shared" ref="U332:U335" si="290">IF(R332&gt;1,"Thermal Fault &lt;700c, thermal fault &gt;700c ")</f>
        <v>Thermal Fault &lt;700c, thermal fault &gt;700c </v>
      </c>
      <c r="V332" s="17" t="str">
        <f t="shared" ref="V332:V334" si="291">IF(S332&lt;1,"Partial discharge, Normal ",IF(S332&gt;3,"Arching,Thermal  Fault &gt; 700 c"))</f>
        <v>Partial discharge, Normal </v>
      </c>
      <c r="W332" s="17" t="str">
        <f t="shared" si="3"/>
        <v>1.4</v>
      </c>
      <c r="X332" s="17" t="str">
        <f t="shared" si="33"/>
        <v>1.38372093</v>
      </c>
      <c r="Y332" s="17" t="str">
        <f t="shared" si="9"/>
        <v>0.5555555556</v>
      </c>
      <c r="Z332" s="17" t="str">
        <f t="shared" si="289"/>
        <v>Discharge of Low Energy,  </v>
      </c>
      <c r="AA332" s="17" t="str">
        <f t="shared" ref="AA332:AA335" si="292">IF(X332&lt;0.1,"Partial Discharges, ",IF(X332&gt;1,"Thermal  Fault &gt;300c and&lt;700 and &gt;700 c"))</f>
        <v>Thermal  Fault &gt;300c and&lt;700 and &gt;700 c</v>
      </c>
      <c r="AB332" s="17" t="s">
        <v>107</v>
      </c>
      <c r="AC332" s="17" t="str">
        <f t="shared" si="5"/>
        <v>1.38372093</v>
      </c>
      <c r="AD332" s="18" t="str">
        <f t="shared" si="10"/>
        <v>1.4</v>
      </c>
      <c r="AE332" s="17" t="str">
        <f t="shared" si="6"/>
        <v>0.7446016381</v>
      </c>
      <c r="AF332" s="17" t="str">
        <f t="shared" si="11"/>
        <v>1.285714286</v>
      </c>
      <c r="AG332" s="17" t="str">
        <f t="shared" ref="AG332:AG335" si="293">IF(AC332&gt;1,"Thermal Decomposition, ",IF(AC332&lt;0.1,"Corona,Arching"))</f>
        <v>Thermal Decomposition, </v>
      </c>
      <c r="AH332" s="17" t="str">
        <f t="shared" si="247"/>
        <v>Arching</v>
      </c>
      <c r="AI332" s="17" t="str">
        <f t="shared" si="16"/>
        <v>Arching</v>
      </c>
      <c r="AJ332" s="17" t="str">
        <f t="shared" si="235"/>
        <v>Thermal Decomposition,corona </v>
      </c>
    </row>
    <row r="333" ht="12.75" customHeight="1">
      <c r="A333" s="11">
        <v>331.0</v>
      </c>
      <c r="B333" s="19" t="s">
        <v>350</v>
      </c>
      <c r="C333" s="19" t="s">
        <v>82</v>
      </c>
      <c r="D333" s="17" t="s">
        <v>190</v>
      </c>
      <c r="E333" s="19" t="s">
        <v>349</v>
      </c>
      <c r="F333" s="17">
        <v>2016.0</v>
      </c>
      <c r="G333" s="17">
        <v>8.3</v>
      </c>
      <c r="H333" s="16">
        <v>4.648</v>
      </c>
      <c r="I333" s="16">
        <v>16943.454</v>
      </c>
      <c r="J333" s="16">
        <v>61950.702000000005</v>
      </c>
      <c r="K333" s="16">
        <v>245.763</v>
      </c>
      <c r="L333" s="16">
        <v>2664.715</v>
      </c>
      <c r="M333" s="16">
        <v>9.047</v>
      </c>
      <c r="N333" s="16">
        <v>9.0</v>
      </c>
      <c r="O333" s="16">
        <v>8.0</v>
      </c>
      <c r="P333" s="16">
        <v>4.0</v>
      </c>
      <c r="Q333" s="17" t="str">
        <f t="shared" si="1"/>
        <v>0.5</v>
      </c>
      <c r="R333" s="17" t="str">
        <f t="shared" si="2"/>
        <v>1.946428571</v>
      </c>
      <c r="S333" s="17" t="str">
        <f t="shared" si="8"/>
        <v>0.8888888889</v>
      </c>
      <c r="T333" s="17" t="str">
        <f t="shared" ref="T333:T334" si="294">IF(Q333&lt;1,"Partial discharge,Low Temprature thermal fault,")</f>
        <v>Partial discharge,Low Temprature thermal fault,</v>
      </c>
      <c r="U333" s="17" t="str">
        <f t="shared" si="290"/>
        <v>Thermal Fault &lt;700c, thermal fault &gt;700c </v>
      </c>
      <c r="V333" s="17" t="str">
        <f t="shared" si="291"/>
        <v>Partial discharge, Normal </v>
      </c>
      <c r="W333" s="17" t="str">
        <f t="shared" si="3"/>
        <v>0.5</v>
      </c>
      <c r="X333" s="17" t="str">
        <f t="shared" si="33"/>
        <v>1.946428571</v>
      </c>
      <c r="Y333" s="17" t="str">
        <f t="shared" si="9"/>
        <v>0.8888888889</v>
      </c>
      <c r="Z333" s="17" t="s">
        <v>34</v>
      </c>
      <c r="AA333" s="17" t="str">
        <f t="shared" si="292"/>
        <v>Thermal  Fault &gt;300c and&lt;700 and &gt;700 c</v>
      </c>
      <c r="AB333" s="17" t="s">
        <v>107</v>
      </c>
      <c r="AC333" s="17" t="str">
        <f t="shared" si="5"/>
        <v>1.946428571</v>
      </c>
      <c r="AD333" s="18" t="str">
        <f t="shared" si="10"/>
        <v>0.5</v>
      </c>
      <c r="AE333" s="17" t="str">
        <f t="shared" si="6"/>
        <v>0.4421355145</v>
      </c>
      <c r="AF333" s="17" t="str">
        <f t="shared" si="11"/>
        <v>2.25</v>
      </c>
      <c r="AG333" s="17" t="str">
        <f t="shared" si="293"/>
        <v>Thermal Decomposition, </v>
      </c>
      <c r="AH333" s="17" t="str">
        <f t="shared" si="247"/>
        <v>Thermal Decomposition, </v>
      </c>
      <c r="AI333" s="17" t="str">
        <f t="shared" si="16"/>
        <v>Arching</v>
      </c>
      <c r="AJ333" s="17" t="str">
        <f t="shared" si="235"/>
        <v>Thermal Decomposition,corona </v>
      </c>
    </row>
    <row r="334" ht="12.75" customHeight="1">
      <c r="A334" s="11">
        <v>332.0</v>
      </c>
      <c r="B334" s="13" t="s">
        <v>351</v>
      </c>
      <c r="C334" s="13" t="s">
        <v>78</v>
      </c>
      <c r="D334" s="13" t="s">
        <v>178</v>
      </c>
      <c r="E334" s="13" t="s">
        <v>102</v>
      </c>
      <c r="F334" s="13">
        <v>2002.0</v>
      </c>
      <c r="G334" s="14">
        <v>7.9</v>
      </c>
      <c r="H334" s="15">
        <v>1.8170000000000002</v>
      </c>
      <c r="I334" s="15">
        <v>15162.786</v>
      </c>
      <c r="J334" s="15">
        <v>62022.189000000006</v>
      </c>
      <c r="K334" s="15">
        <v>60.514</v>
      </c>
      <c r="L334" s="15">
        <v>625.2850000000001</v>
      </c>
      <c r="M334" s="15">
        <v>4.108</v>
      </c>
      <c r="N334" s="15">
        <v>7.0</v>
      </c>
      <c r="O334" s="15">
        <v>5.0</v>
      </c>
      <c r="P334" s="16">
        <v>3.0</v>
      </c>
      <c r="Q334" s="17" t="str">
        <f t="shared" si="1"/>
        <v>0.6</v>
      </c>
      <c r="R334" s="17" t="str">
        <f t="shared" si="2"/>
        <v>2.260869565</v>
      </c>
      <c r="S334" s="17" t="str">
        <f t="shared" si="8"/>
        <v>0.7142857143</v>
      </c>
      <c r="T334" s="17" t="str">
        <f t="shared" si="294"/>
        <v>Partial discharge,Low Temprature thermal fault,</v>
      </c>
      <c r="U334" s="17" t="str">
        <f t="shared" si="290"/>
        <v>Thermal Fault &lt;700c, thermal fault &gt;700c </v>
      </c>
      <c r="V334" s="17" t="str">
        <f t="shared" si="291"/>
        <v>Partial discharge, Normal </v>
      </c>
      <c r="W334" s="17" t="str">
        <f t="shared" si="3"/>
        <v>0.6</v>
      </c>
      <c r="X334" s="17" t="str">
        <f t="shared" si="33"/>
        <v>2.260869565</v>
      </c>
      <c r="Y334" s="17" t="str">
        <f t="shared" si="9"/>
        <v>0.7142857143</v>
      </c>
      <c r="Z334" s="17" t="s">
        <v>34</v>
      </c>
      <c r="AA334" s="17" t="str">
        <f t="shared" si="292"/>
        <v>Thermal  Fault &gt;300c and&lt;700 and &gt;700 c</v>
      </c>
      <c r="AB334" s="17" t="s">
        <v>107</v>
      </c>
      <c r="AC334" s="17" t="str">
        <f t="shared" si="5"/>
        <v>2.260869565</v>
      </c>
      <c r="AD334" s="18" t="str">
        <f t="shared" si="10"/>
        <v>0.6</v>
      </c>
      <c r="AE334" s="17" t="str">
        <f t="shared" si="6"/>
        <v>0.7302823759</v>
      </c>
      <c r="AF334" s="17" t="str">
        <f t="shared" si="11"/>
        <v>2.333333333</v>
      </c>
      <c r="AG334" s="17" t="str">
        <f t="shared" si="293"/>
        <v>Thermal Decomposition, </v>
      </c>
      <c r="AH334" s="17" t="str">
        <f t="shared" si="247"/>
        <v>Thermal Decomposition, </v>
      </c>
      <c r="AI334" s="17" t="str">
        <f t="shared" si="16"/>
        <v>Arching</v>
      </c>
      <c r="AJ334" s="17" t="str">
        <f t="shared" si="235"/>
        <v>Thermal Decomposition,corona </v>
      </c>
    </row>
    <row r="335" ht="12.75" customHeight="1">
      <c r="A335" s="11">
        <v>333.0</v>
      </c>
      <c r="B335" s="13" t="s">
        <v>351</v>
      </c>
      <c r="C335" s="13" t="s">
        <v>78</v>
      </c>
      <c r="D335" s="13" t="s">
        <v>178</v>
      </c>
      <c r="E335" s="13" t="s">
        <v>102</v>
      </c>
      <c r="F335" s="21">
        <v>2002.0</v>
      </c>
      <c r="G335" s="17">
        <v>8.1</v>
      </c>
      <c r="H335" s="16">
        <v>1.944</v>
      </c>
      <c r="I335" s="16">
        <v>16388.325</v>
      </c>
      <c r="J335" s="16">
        <v>63074.21399999999</v>
      </c>
      <c r="K335" s="16">
        <v>72.576</v>
      </c>
      <c r="L335" s="16">
        <v>746.334</v>
      </c>
      <c r="M335" s="15">
        <v>5.265</v>
      </c>
      <c r="N335" s="16">
        <v>5.0</v>
      </c>
      <c r="O335" s="16">
        <v>8.0</v>
      </c>
      <c r="P335" s="16">
        <v>8.0</v>
      </c>
      <c r="Q335" s="17" t="str">
        <f t="shared" si="1"/>
        <v>1</v>
      </c>
      <c r="R335" s="17" t="str">
        <f t="shared" si="2"/>
        <v>2.708333333</v>
      </c>
      <c r="S335" s="17" t="str">
        <f t="shared" si="8"/>
        <v>1.6</v>
      </c>
      <c r="T335" s="17" t="s">
        <v>30</v>
      </c>
      <c r="U335" s="17" t="str">
        <f t="shared" si="290"/>
        <v>Thermal Fault &lt;700c, thermal fault &gt;700c </v>
      </c>
      <c r="V335" s="17" t="s">
        <v>37</v>
      </c>
      <c r="W335" s="17" t="str">
        <f t="shared" si="3"/>
        <v>1</v>
      </c>
      <c r="X335" s="17" t="str">
        <f t="shared" si="33"/>
        <v>2.708333333</v>
      </c>
      <c r="Y335" s="17" t="str">
        <f t="shared" si="9"/>
        <v>1.6</v>
      </c>
      <c r="Z335" s="17" t="s">
        <v>34</v>
      </c>
      <c r="AA335" s="17" t="str">
        <f t="shared" si="292"/>
        <v>Thermal  Fault &gt;300c and&lt;700 and &gt;700 c</v>
      </c>
      <c r="AB335" s="17" t="str">
        <f t="shared" ref="AB335:AB339" si="295">IF(Y335&lt;0.2,"Partial Discharges, ",IF(Y335&gt;1,"Thermal  Fault  &gt;700 c"))</f>
        <v>Thermal  Fault  &gt;700 c</v>
      </c>
      <c r="AC335" s="17" t="str">
        <f t="shared" si="5"/>
        <v>2.708333333</v>
      </c>
      <c r="AD335" s="18" t="str">
        <f t="shared" si="10"/>
        <v>1</v>
      </c>
      <c r="AE335" s="17" t="str">
        <f t="shared" si="6"/>
        <v>1.519468186</v>
      </c>
      <c r="AF335" s="17" t="str">
        <f t="shared" si="11"/>
        <v>0.625</v>
      </c>
      <c r="AG335" s="17" t="str">
        <f t="shared" si="293"/>
        <v>Thermal Decomposition, </v>
      </c>
      <c r="AH335" s="17" t="str">
        <f t="shared" si="247"/>
        <v>Arching</v>
      </c>
      <c r="AI335" s="17" t="str">
        <f t="shared" si="16"/>
        <v>Arching</v>
      </c>
      <c r="AJ335" s="17" t="str">
        <f t="shared" si="235"/>
        <v>Thermal Decomposition,corona </v>
      </c>
    </row>
    <row r="336" ht="12.75" customHeight="1">
      <c r="A336" s="11">
        <v>334.0</v>
      </c>
      <c r="B336" s="21" t="s">
        <v>352</v>
      </c>
      <c r="C336" s="13" t="s">
        <v>78</v>
      </c>
      <c r="D336" s="13" t="s">
        <v>178</v>
      </c>
      <c r="E336" s="13" t="s">
        <v>102</v>
      </c>
      <c r="F336" s="21">
        <v>2002.0</v>
      </c>
      <c r="G336" s="17">
        <v>8.5</v>
      </c>
      <c r="H336" s="16">
        <v>3.655</v>
      </c>
      <c r="I336" s="16">
        <v>15545.99</v>
      </c>
      <c r="J336" s="16">
        <v>67562.675</v>
      </c>
      <c r="K336" s="16">
        <v>77.77499999999999</v>
      </c>
      <c r="L336" s="16">
        <v>821.5250000000001</v>
      </c>
      <c r="M336" s="16">
        <v>2.8049999999999997</v>
      </c>
      <c r="N336" s="16">
        <v>6.0</v>
      </c>
      <c r="O336" s="16">
        <v>8.0</v>
      </c>
      <c r="P336" s="16">
        <v>6.0</v>
      </c>
      <c r="Q336" s="17" t="str">
        <f t="shared" si="1"/>
        <v>0.75</v>
      </c>
      <c r="R336" s="17" t="str">
        <f t="shared" si="2"/>
        <v>0.7674418605</v>
      </c>
      <c r="S336" s="17" t="str">
        <f t="shared" si="8"/>
        <v>1.333333333</v>
      </c>
      <c r="T336" s="17" t="str">
        <f t="shared" ref="T336:T338" si="296">IF(Q336&lt;1,"Partial discharge,Low Temprature thermal fault,")</f>
        <v>Partial discharge,Low Temprature thermal fault,</v>
      </c>
      <c r="U336" s="17" t="s">
        <v>31</v>
      </c>
      <c r="V336" s="17" t="s">
        <v>37</v>
      </c>
      <c r="W336" s="17" t="str">
        <f t="shared" si="3"/>
        <v>0.75</v>
      </c>
      <c r="X336" s="17" t="str">
        <f t="shared" si="33"/>
        <v>0.7674418605</v>
      </c>
      <c r="Y336" s="17" t="str">
        <f t="shared" si="9"/>
        <v>1.333333333</v>
      </c>
      <c r="Z336" s="17" t="s">
        <v>34</v>
      </c>
      <c r="AA336" s="17" t="s">
        <v>34</v>
      </c>
      <c r="AB336" s="17" t="str">
        <f t="shared" si="295"/>
        <v>Thermal  Fault  &gt;700 c</v>
      </c>
      <c r="AC336" s="17" t="str">
        <f t="shared" si="5"/>
        <v>0.7674418605</v>
      </c>
      <c r="AD336" s="18" t="str">
        <f t="shared" si="10"/>
        <v>0.75</v>
      </c>
      <c r="AE336" s="17" t="str">
        <f t="shared" si="6"/>
        <v>2.139037433</v>
      </c>
      <c r="AF336" s="17" t="str">
        <f t="shared" si="11"/>
        <v>1</v>
      </c>
      <c r="AG336" s="17" t="s">
        <v>30</v>
      </c>
      <c r="AH336" s="17" t="s">
        <v>30</v>
      </c>
      <c r="AI336" s="17" t="str">
        <f t="shared" si="16"/>
        <v>Arching</v>
      </c>
      <c r="AJ336" s="17" t="str">
        <f t="shared" si="235"/>
        <v>Thermal Decomposition,corona </v>
      </c>
    </row>
    <row r="337" ht="12.75" customHeight="1">
      <c r="A337" s="11">
        <v>335.0</v>
      </c>
      <c r="B337" s="21" t="s">
        <v>352</v>
      </c>
      <c r="C337" s="13" t="s">
        <v>78</v>
      </c>
      <c r="D337" s="13" t="s">
        <v>178</v>
      </c>
      <c r="E337" s="13" t="s">
        <v>102</v>
      </c>
      <c r="F337" s="21">
        <v>2002.0</v>
      </c>
      <c r="G337" s="25">
        <v>8.0</v>
      </c>
      <c r="H337" s="16">
        <v>8.4</v>
      </c>
      <c r="I337" s="16">
        <v>15211.199999999999</v>
      </c>
      <c r="J337" s="16">
        <v>63358.56</v>
      </c>
      <c r="K337" s="16">
        <v>84.39999999999999</v>
      </c>
      <c r="L337" s="16">
        <v>881.7600000000001</v>
      </c>
      <c r="M337" s="16">
        <v>6.959999999999999</v>
      </c>
      <c r="N337" s="16">
        <v>8.0</v>
      </c>
      <c r="O337" s="16">
        <v>9.0</v>
      </c>
      <c r="P337" s="19">
        <v>8.0</v>
      </c>
      <c r="Q337" s="17" t="str">
        <f t="shared" si="1"/>
        <v>0.8888888889</v>
      </c>
      <c r="R337" s="17" t="str">
        <f t="shared" si="2"/>
        <v>0.8285714286</v>
      </c>
      <c r="S337" s="17" t="str">
        <f t="shared" si="8"/>
        <v>1.125</v>
      </c>
      <c r="T337" s="17" t="str">
        <f t="shared" si="296"/>
        <v>Partial discharge,Low Temprature thermal fault,</v>
      </c>
      <c r="U337" s="17" t="s">
        <v>31</v>
      </c>
      <c r="V337" s="17" t="s">
        <v>37</v>
      </c>
      <c r="W337" s="17" t="str">
        <f t="shared" si="3"/>
        <v>0.8888888889</v>
      </c>
      <c r="X337" s="17" t="str">
        <f t="shared" si="33"/>
        <v>0.8285714286</v>
      </c>
      <c r="Y337" s="17" t="str">
        <f t="shared" si="9"/>
        <v>1.125</v>
      </c>
      <c r="Z337" s="17" t="s">
        <v>34</v>
      </c>
      <c r="AA337" s="17" t="s">
        <v>34</v>
      </c>
      <c r="AB337" s="17" t="str">
        <f t="shared" si="295"/>
        <v>Thermal  Fault  &gt;700 c</v>
      </c>
      <c r="AC337" s="17" t="str">
        <f t="shared" si="5"/>
        <v>0.8285714286</v>
      </c>
      <c r="AD337" s="18" t="str">
        <f t="shared" si="10"/>
        <v>0.8888888889</v>
      </c>
      <c r="AE337" s="17" t="str">
        <f t="shared" si="6"/>
        <v>1.149425287</v>
      </c>
      <c r="AF337" s="17" t="str">
        <f t="shared" si="11"/>
        <v>1</v>
      </c>
      <c r="AG337" s="17" t="s">
        <v>30</v>
      </c>
      <c r="AH337" s="17" t="str">
        <f t="shared" ref="AH337:AH341" si="297">IF(AD337&lt;0.75,"Thermal Decomposition, ",IF(AD337&gt;0.75,"Arching"))</f>
        <v>Arching</v>
      </c>
      <c r="AI337" s="17" t="str">
        <f t="shared" si="16"/>
        <v>Arching</v>
      </c>
      <c r="AJ337" s="17" t="str">
        <f t="shared" si="235"/>
        <v>Thermal Decomposition,corona </v>
      </c>
    </row>
    <row r="338" ht="12.75" customHeight="1">
      <c r="A338" s="11">
        <v>336.0</v>
      </c>
      <c r="B338" s="17" t="s">
        <v>353</v>
      </c>
      <c r="C338" s="17" t="s">
        <v>99</v>
      </c>
      <c r="D338" s="17" t="s">
        <v>354</v>
      </c>
      <c r="E338" s="17" t="s">
        <v>234</v>
      </c>
      <c r="F338" s="17">
        <v>2009.0</v>
      </c>
      <c r="G338" s="17">
        <v>7.7</v>
      </c>
      <c r="H338" s="16">
        <v>4.312</v>
      </c>
      <c r="I338" s="16">
        <v>14356.342</v>
      </c>
      <c r="J338" s="16">
        <v>60376.085</v>
      </c>
      <c r="K338" s="16">
        <v>117.964</v>
      </c>
      <c r="L338" s="16">
        <v>1280.895</v>
      </c>
      <c r="M338" s="16">
        <v>62.678</v>
      </c>
      <c r="N338" s="16">
        <v>16.093</v>
      </c>
      <c r="O338" s="16">
        <v>138.446</v>
      </c>
      <c r="P338" s="19">
        <v>123.0</v>
      </c>
      <c r="Q338" s="17" t="str">
        <f t="shared" si="1"/>
        <v>0.8884330353</v>
      </c>
      <c r="R338" s="17" t="str">
        <f t="shared" si="2"/>
        <v>14.53571429</v>
      </c>
      <c r="S338" s="17" t="str">
        <f t="shared" si="8"/>
        <v>8.602870813</v>
      </c>
      <c r="T338" s="17" t="str">
        <f t="shared" si="296"/>
        <v>Partial discharge,Low Temprature thermal fault,</v>
      </c>
      <c r="U338" s="17" t="str">
        <f t="shared" ref="U338:U339" si="298">IF(R338&gt;1,"Thermal Fault &lt;700c, thermal fault &gt;700c ")</f>
        <v>Thermal Fault &lt;700c, thermal fault &gt;700c </v>
      </c>
      <c r="V338" s="17" t="str">
        <f t="shared" ref="V338:V340" si="299">IF(S338&lt;1,"Partial discharge, Normal ",IF(S338&gt;3,"Arching,Thermal  Fault &gt; 700 c"))</f>
        <v>Arching,Thermal  Fault &gt; 700 c</v>
      </c>
      <c r="W338" s="17" t="str">
        <f t="shared" si="3"/>
        <v>0.8884330353</v>
      </c>
      <c r="X338" s="17" t="str">
        <f t="shared" si="33"/>
        <v>14.53571429</v>
      </c>
      <c r="Y338" s="17" t="str">
        <f t="shared" si="9"/>
        <v>8.602870813</v>
      </c>
      <c r="Z338" s="17" t="s">
        <v>34</v>
      </c>
      <c r="AA338" s="17" t="str">
        <f t="shared" ref="AA338:AA339" si="300">IF(X338&lt;0.1,"Partial Discharges, ",IF(X338&gt;1,"Thermal  Fault &gt;300c and&lt;700 and &gt;700 c"))</f>
        <v>Thermal  Fault &gt;300c and&lt;700 and &gt;700 c</v>
      </c>
      <c r="AB338" s="17" t="str">
        <f t="shared" si="295"/>
        <v>Thermal  Fault  &gt;700 c</v>
      </c>
      <c r="AC338" s="17" t="str">
        <f t="shared" si="5"/>
        <v>14.53571429</v>
      </c>
      <c r="AD338" s="18" t="str">
        <f t="shared" si="10"/>
        <v>0.8884330353</v>
      </c>
      <c r="AE338" s="17" t="str">
        <f t="shared" si="6"/>
        <v>1.962411053</v>
      </c>
      <c r="AF338" s="17" t="str">
        <f t="shared" si="11"/>
        <v>0.1308373984</v>
      </c>
      <c r="AG338" s="17" t="str">
        <f t="shared" ref="AG338:AG339" si="301">IF(AC338&gt;1,"Thermal Decomposition, ",IF(AC338&lt;0.1,"Corona,Arching"))</f>
        <v>Thermal Decomposition, </v>
      </c>
      <c r="AH338" s="17" t="str">
        <f t="shared" si="297"/>
        <v>Arching</v>
      </c>
      <c r="AI338" s="17" t="str">
        <f t="shared" si="16"/>
        <v>Arching</v>
      </c>
      <c r="AJ338" s="17" t="str">
        <f t="shared" si="235"/>
        <v>Arching</v>
      </c>
    </row>
    <row r="339" ht="12.75" customHeight="1">
      <c r="A339" s="11">
        <v>337.0</v>
      </c>
      <c r="B339" s="17" t="s">
        <v>353</v>
      </c>
      <c r="C339" s="17" t="s">
        <v>99</v>
      </c>
      <c r="D339" s="17" t="s">
        <v>354</v>
      </c>
      <c r="E339" s="17" t="s">
        <v>234</v>
      </c>
      <c r="F339" s="17">
        <v>2009.0</v>
      </c>
      <c r="G339" s="17">
        <v>8.1</v>
      </c>
      <c r="H339" s="16">
        <v>6.966</v>
      </c>
      <c r="I339" s="16">
        <v>16064.162999999999</v>
      </c>
      <c r="J339" s="16">
        <v>62631.954000000005</v>
      </c>
      <c r="K339" s="16">
        <v>123.282</v>
      </c>
      <c r="L339" s="16">
        <v>1342.008</v>
      </c>
      <c r="M339" s="16">
        <v>72.009</v>
      </c>
      <c r="N339" s="16">
        <v>18.711</v>
      </c>
      <c r="O339" s="16">
        <v>153.333</v>
      </c>
      <c r="P339" s="16">
        <v>200.0</v>
      </c>
      <c r="Q339" s="17" t="str">
        <f t="shared" si="1"/>
        <v>1.304350662</v>
      </c>
      <c r="R339" s="17" t="str">
        <f t="shared" si="2"/>
        <v>10.3372093</v>
      </c>
      <c r="S339" s="17" t="str">
        <f t="shared" si="8"/>
        <v>8.194805195</v>
      </c>
      <c r="T339" s="17" t="s">
        <v>30</v>
      </c>
      <c r="U339" s="17" t="str">
        <f t="shared" si="298"/>
        <v>Thermal Fault &lt;700c, thermal fault &gt;700c </v>
      </c>
      <c r="V339" s="17" t="str">
        <f t="shared" si="299"/>
        <v>Arching,Thermal  Fault &gt; 700 c</v>
      </c>
      <c r="W339" s="17" t="str">
        <f t="shared" si="3"/>
        <v>1.304350662</v>
      </c>
      <c r="X339" s="17" t="str">
        <f t="shared" si="33"/>
        <v>10.3372093</v>
      </c>
      <c r="Y339" s="17" t="str">
        <f t="shared" si="9"/>
        <v>8.194805195</v>
      </c>
      <c r="Z339" s="17" t="str">
        <f t="shared" ref="Z339:Z340" si="302">IF(W339&gt;1,"Discharge of Low Energy,  ",IF(W339&lt;0.1,"Thermal  Fault&gt; 300c and&lt;700 c"))</f>
        <v>Discharge of Low Energy,  </v>
      </c>
      <c r="AA339" s="17" t="str">
        <f t="shared" si="300"/>
        <v>Thermal  Fault &gt;300c and&lt;700 and &gt;700 c</v>
      </c>
      <c r="AB339" s="17" t="str">
        <f t="shared" si="295"/>
        <v>Thermal  Fault  &gt;700 c</v>
      </c>
      <c r="AC339" s="17" t="str">
        <f t="shared" si="5"/>
        <v>10.3372093</v>
      </c>
      <c r="AD339" s="18" t="str">
        <f t="shared" si="10"/>
        <v>1.304350662</v>
      </c>
      <c r="AE339" s="17" t="str">
        <f t="shared" si="6"/>
        <v>2.777430599</v>
      </c>
      <c r="AF339" s="17" t="str">
        <f t="shared" si="11"/>
        <v>0.093555</v>
      </c>
      <c r="AG339" s="17" t="str">
        <f t="shared" si="301"/>
        <v>Thermal Decomposition, </v>
      </c>
      <c r="AH339" s="17" t="str">
        <f t="shared" si="297"/>
        <v>Arching</v>
      </c>
      <c r="AI339" s="17" t="str">
        <f t="shared" si="16"/>
        <v>Arching</v>
      </c>
      <c r="AJ339" s="17" t="str">
        <f t="shared" si="235"/>
        <v>Arching</v>
      </c>
    </row>
    <row r="340" ht="12.75" customHeight="1">
      <c r="A340" s="11">
        <v>338.0</v>
      </c>
      <c r="B340" s="17" t="s">
        <v>355</v>
      </c>
      <c r="C340" s="17" t="s">
        <v>99</v>
      </c>
      <c r="D340" s="17" t="s">
        <v>354</v>
      </c>
      <c r="E340" s="17" t="s">
        <v>234</v>
      </c>
      <c r="F340" s="17">
        <v>2009.0</v>
      </c>
      <c r="G340" s="17">
        <v>7.5</v>
      </c>
      <c r="H340" s="16">
        <v>6.45</v>
      </c>
      <c r="I340" s="16">
        <v>16062.599999999999</v>
      </c>
      <c r="J340" s="16">
        <v>57164.774999999994</v>
      </c>
      <c r="K340" s="16">
        <v>82.35</v>
      </c>
      <c r="L340" s="16">
        <v>889.9500000000002</v>
      </c>
      <c r="M340" s="16">
        <v>3.15</v>
      </c>
      <c r="N340" s="16">
        <v>9.0</v>
      </c>
      <c r="O340" s="16">
        <v>6.0</v>
      </c>
      <c r="P340" s="16">
        <v>8.0</v>
      </c>
      <c r="Q340" s="17" t="str">
        <f t="shared" si="1"/>
        <v>1.333333333</v>
      </c>
      <c r="R340" s="17" t="str">
        <f t="shared" si="2"/>
        <v>0.488372093</v>
      </c>
      <c r="S340" s="17" t="str">
        <f t="shared" si="8"/>
        <v>0.6666666667</v>
      </c>
      <c r="T340" s="17" t="s">
        <v>30</v>
      </c>
      <c r="U340" s="17" t="s">
        <v>31</v>
      </c>
      <c r="V340" s="17" t="str">
        <f t="shared" si="299"/>
        <v>Partial discharge, Normal </v>
      </c>
      <c r="W340" s="17" t="str">
        <f t="shared" si="3"/>
        <v>1.333333333</v>
      </c>
      <c r="X340" s="17" t="str">
        <f t="shared" si="33"/>
        <v>0.488372093</v>
      </c>
      <c r="Y340" s="17" t="str">
        <f t="shared" si="9"/>
        <v>0.6666666667</v>
      </c>
      <c r="Z340" s="17" t="str">
        <f t="shared" si="302"/>
        <v>Discharge of Low Energy,  </v>
      </c>
      <c r="AA340" s="17" t="s">
        <v>34</v>
      </c>
      <c r="AB340" s="17" t="s">
        <v>107</v>
      </c>
      <c r="AC340" s="17" t="str">
        <f t="shared" si="5"/>
        <v>0.488372093</v>
      </c>
      <c r="AD340" s="18" t="str">
        <f t="shared" si="10"/>
        <v>1.333333333</v>
      </c>
      <c r="AE340" s="17" t="str">
        <f t="shared" si="6"/>
        <v>2.53968254</v>
      </c>
      <c r="AF340" s="17" t="str">
        <f t="shared" si="11"/>
        <v>1.125</v>
      </c>
      <c r="AG340" s="17" t="s">
        <v>30</v>
      </c>
      <c r="AH340" s="17" t="str">
        <f t="shared" si="297"/>
        <v>Arching</v>
      </c>
      <c r="AI340" s="17" t="str">
        <f t="shared" si="16"/>
        <v>Arching</v>
      </c>
      <c r="AJ340" s="17" t="str">
        <f t="shared" si="235"/>
        <v>Thermal Decomposition,corona </v>
      </c>
    </row>
    <row r="341" ht="12.75" customHeight="1">
      <c r="A341" s="11">
        <v>339.0</v>
      </c>
      <c r="B341" s="17" t="s">
        <v>356</v>
      </c>
      <c r="C341" s="17" t="s">
        <v>99</v>
      </c>
      <c r="D341" s="17" t="s">
        <v>354</v>
      </c>
      <c r="E341" s="17" t="s">
        <v>234</v>
      </c>
      <c r="F341" s="17">
        <v>2009.0</v>
      </c>
      <c r="G341" s="25">
        <v>8.0</v>
      </c>
      <c r="H341" s="16">
        <v>1.28</v>
      </c>
      <c r="I341" s="16">
        <v>16657.28</v>
      </c>
      <c r="J341" s="16">
        <v>60921.2</v>
      </c>
      <c r="K341" s="16">
        <v>116.16</v>
      </c>
      <c r="L341" s="16">
        <v>1255.12</v>
      </c>
      <c r="M341" s="16">
        <v>9.0</v>
      </c>
      <c r="N341" s="16">
        <v>5.0</v>
      </c>
      <c r="O341" s="16">
        <v>8.0</v>
      </c>
      <c r="P341" s="16">
        <v>8.0</v>
      </c>
      <c r="Q341" s="17" t="str">
        <f t="shared" si="1"/>
        <v>1</v>
      </c>
      <c r="R341" s="17" t="str">
        <f t="shared" si="2"/>
        <v>7.03125</v>
      </c>
      <c r="S341" s="17" t="str">
        <f t="shared" si="8"/>
        <v>1.6</v>
      </c>
      <c r="T341" s="17" t="s">
        <v>30</v>
      </c>
      <c r="U341" s="17" t="s">
        <v>31</v>
      </c>
      <c r="V341" s="17" t="s">
        <v>37</v>
      </c>
      <c r="W341" s="17" t="str">
        <f t="shared" si="3"/>
        <v>1</v>
      </c>
      <c r="X341" s="17" t="str">
        <f t="shared" si="33"/>
        <v>7.03125</v>
      </c>
      <c r="Y341" s="17" t="str">
        <f t="shared" si="9"/>
        <v>1.6</v>
      </c>
      <c r="Z341" s="17" t="s">
        <v>34</v>
      </c>
      <c r="AA341" s="17" t="str">
        <f t="shared" ref="AA341:AA342" si="303">IF(X341&lt;0.1,"Partial Discharges, ",IF(X341&gt;1,"Thermal  Fault &gt;300c and&lt;700 and &gt;700 c"))</f>
        <v>Thermal  Fault &gt;300c and&lt;700 and &gt;700 c</v>
      </c>
      <c r="AB341" s="17" t="str">
        <f t="shared" ref="AB341:AB344" si="304">IF(Y341&lt;0.2,"Partial Discharges, ",IF(Y341&gt;1,"Thermal  Fault  &gt;700 c"))</f>
        <v>Thermal  Fault  &gt;700 c</v>
      </c>
      <c r="AC341" s="17" t="str">
        <f t="shared" si="5"/>
        <v>7.03125</v>
      </c>
      <c r="AD341" s="18" t="str">
        <f t="shared" si="10"/>
        <v>1</v>
      </c>
      <c r="AE341" s="17" t="str">
        <f t="shared" si="6"/>
        <v>0.8888888889</v>
      </c>
      <c r="AF341" s="17" t="str">
        <f t="shared" si="11"/>
        <v>0.625</v>
      </c>
      <c r="AG341" s="17" t="str">
        <f t="shared" ref="AG341:AG342" si="305">IF(AC341&gt;1,"Thermal Decomposition, ",IF(AC341&lt;0.1,"Corona,Arching"))</f>
        <v>Thermal Decomposition, </v>
      </c>
      <c r="AH341" s="17" t="str">
        <f t="shared" si="297"/>
        <v>Arching</v>
      </c>
      <c r="AI341" s="17" t="str">
        <f t="shared" si="16"/>
        <v>Arching</v>
      </c>
      <c r="AJ341" s="17" t="str">
        <f t="shared" si="235"/>
        <v>Thermal Decomposition,corona </v>
      </c>
    </row>
    <row r="342" ht="12.75" customHeight="1">
      <c r="A342" s="11">
        <v>340.0</v>
      </c>
      <c r="B342" s="14" t="s">
        <v>155</v>
      </c>
      <c r="C342" s="14" t="s">
        <v>147</v>
      </c>
      <c r="D342" s="14" t="s">
        <v>357</v>
      </c>
      <c r="E342" s="14" t="s">
        <v>358</v>
      </c>
      <c r="F342" s="14">
        <v>2012.0</v>
      </c>
      <c r="G342" s="14">
        <v>8.3</v>
      </c>
      <c r="H342" s="15">
        <v>2.6560000000000006</v>
      </c>
      <c r="I342" s="15">
        <v>17396.883</v>
      </c>
      <c r="J342" s="15">
        <v>62756.549000000006</v>
      </c>
      <c r="K342" s="15">
        <v>141.764</v>
      </c>
      <c r="L342" s="15">
        <v>1525.125</v>
      </c>
      <c r="M342" s="15">
        <v>2.988</v>
      </c>
      <c r="N342" s="15">
        <v>6.0</v>
      </c>
      <c r="O342" s="15">
        <v>8.0</v>
      </c>
      <c r="P342" s="14">
        <v>6.0</v>
      </c>
      <c r="Q342" s="17" t="str">
        <f t="shared" si="1"/>
        <v>0.75</v>
      </c>
      <c r="R342" s="17" t="str">
        <f t="shared" si="2"/>
        <v>1.125</v>
      </c>
      <c r="S342" s="17" t="str">
        <f t="shared" si="8"/>
        <v>1.333333333</v>
      </c>
      <c r="T342" s="17" t="str">
        <f t="shared" ref="T342:T343" si="306">IF(Q342&lt;1,"Partial discharge,Low Temprature thermal fault,")</f>
        <v>Partial discharge,Low Temprature thermal fault,</v>
      </c>
      <c r="U342" s="17" t="str">
        <f>IF(R342&gt;1,"Thermal Fault &lt;700c, thermal fault &gt;700c ")</f>
        <v>Thermal Fault &lt;700c, thermal fault &gt;700c </v>
      </c>
      <c r="V342" s="17" t="s">
        <v>37</v>
      </c>
      <c r="W342" s="17" t="str">
        <f t="shared" si="3"/>
        <v>0.75</v>
      </c>
      <c r="X342" s="17" t="str">
        <f t="shared" si="33"/>
        <v>1.125</v>
      </c>
      <c r="Y342" s="17" t="str">
        <f t="shared" si="9"/>
        <v>1.333333333</v>
      </c>
      <c r="Z342" s="17" t="s">
        <v>34</v>
      </c>
      <c r="AA342" s="17" t="str">
        <f t="shared" si="303"/>
        <v>Thermal  Fault &gt;300c and&lt;700 and &gt;700 c</v>
      </c>
      <c r="AB342" s="17" t="str">
        <f t="shared" si="304"/>
        <v>Thermal  Fault  &gt;700 c</v>
      </c>
      <c r="AC342" s="17" t="str">
        <f t="shared" si="5"/>
        <v>1.125</v>
      </c>
      <c r="AD342" s="18" t="str">
        <f t="shared" si="10"/>
        <v>0.75</v>
      </c>
      <c r="AE342" s="17" t="str">
        <f t="shared" si="6"/>
        <v>2.008032129</v>
      </c>
      <c r="AF342" s="17" t="str">
        <f t="shared" si="11"/>
        <v>1</v>
      </c>
      <c r="AG342" s="17" t="str">
        <f t="shared" si="305"/>
        <v>Thermal Decomposition, </v>
      </c>
      <c r="AH342" s="17" t="s">
        <v>30</v>
      </c>
      <c r="AI342" s="17" t="str">
        <f t="shared" si="16"/>
        <v>Arching</v>
      </c>
      <c r="AJ342" s="17" t="str">
        <f t="shared" si="235"/>
        <v>Thermal Decomposition,corona </v>
      </c>
    </row>
    <row r="343" ht="12.75" customHeight="1">
      <c r="A343" s="11">
        <v>341.0</v>
      </c>
      <c r="B343" s="14" t="s">
        <v>359</v>
      </c>
      <c r="C343" s="14" t="s">
        <v>147</v>
      </c>
      <c r="D343" s="14" t="s">
        <v>357</v>
      </c>
      <c r="E343" s="14" t="s">
        <v>358</v>
      </c>
      <c r="F343" s="14">
        <v>2012.0</v>
      </c>
      <c r="G343" s="14">
        <v>8.1</v>
      </c>
      <c r="H343" s="15">
        <v>3.4019999999999992</v>
      </c>
      <c r="I343" s="15">
        <v>15111.035999999998</v>
      </c>
      <c r="J343" s="15">
        <v>63784.259999999995</v>
      </c>
      <c r="K343" s="15">
        <v>135.756</v>
      </c>
      <c r="L343" s="15">
        <v>1411.587</v>
      </c>
      <c r="M343" s="15">
        <v>1.8629999999999998</v>
      </c>
      <c r="N343" s="15">
        <v>2.0</v>
      </c>
      <c r="O343" s="15">
        <v>9.0</v>
      </c>
      <c r="P343" s="14">
        <v>4.0</v>
      </c>
      <c r="Q343" s="17" t="str">
        <f t="shared" si="1"/>
        <v>0.4444444444</v>
      </c>
      <c r="R343" s="17" t="str">
        <f t="shared" si="2"/>
        <v>0.5476190476</v>
      </c>
      <c r="S343" s="17" t="str">
        <f t="shared" si="8"/>
        <v>4.5</v>
      </c>
      <c r="T343" s="17" t="str">
        <f t="shared" si="306"/>
        <v>Partial discharge,Low Temprature thermal fault,</v>
      </c>
      <c r="U343" s="17" t="str">
        <f>IF(R343&lt;0.1, "Partial discharge", "Low temperature thermal ")</f>
        <v>Low temperature thermal </v>
      </c>
      <c r="V343" s="17" t="str">
        <f>IF(S343&lt;1,"Partial discharge, Normal ",IF(S343&gt;3,"Arching,Thermal  Fault &gt; 700 c"))</f>
        <v>Arching,Thermal  Fault &gt; 700 c</v>
      </c>
      <c r="W343" s="17" t="str">
        <f t="shared" si="3"/>
        <v>0.4444444444</v>
      </c>
      <c r="X343" s="17" t="str">
        <f t="shared" si="33"/>
        <v>0.5476190476</v>
      </c>
      <c r="Y343" s="17" t="str">
        <f t="shared" si="9"/>
        <v>4.5</v>
      </c>
      <c r="Z343" s="17" t="s">
        <v>34</v>
      </c>
      <c r="AA343" s="17" t="s">
        <v>34</v>
      </c>
      <c r="AB343" s="17" t="str">
        <f t="shared" si="304"/>
        <v>Thermal  Fault  &gt;700 c</v>
      </c>
      <c r="AC343" s="17" t="str">
        <f t="shared" si="5"/>
        <v>0.5476190476</v>
      </c>
      <c r="AD343" s="18" t="str">
        <f t="shared" si="10"/>
        <v>0.4444444444</v>
      </c>
      <c r="AE343" s="17" t="str">
        <f t="shared" si="6"/>
        <v>2.147074611</v>
      </c>
      <c r="AF343" s="17" t="str">
        <f t="shared" si="11"/>
        <v>0.5</v>
      </c>
      <c r="AG343" s="17" t="s">
        <v>30</v>
      </c>
      <c r="AH343" s="17" t="str">
        <f t="shared" ref="AH343:AH372" si="307">IF(AD343&lt;0.75,"Thermal Decomposition, ",IF(AD343&gt;0.75,"Arching"))</f>
        <v>Thermal Decomposition, </v>
      </c>
      <c r="AI343" s="17" t="str">
        <f t="shared" si="16"/>
        <v>Arching</v>
      </c>
      <c r="AJ343" s="17" t="str">
        <f t="shared" si="235"/>
        <v>Thermal Decomposition,corona </v>
      </c>
    </row>
    <row r="344" ht="12.75" customHeight="1">
      <c r="A344" s="11">
        <v>342.0</v>
      </c>
      <c r="B344" s="14" t="s">
        <v>157</v>
      </c>
      <c r="C344" s="14" t="s">
        <v>147</v>
      </c>
      <c r="D344" s="14" t="s">
        <v>357</v>
      </c>
      <c r="E344" s="14" t="s">
        <v>358</v>
      </c>
      <c r="F344" s="14">
        <v>2012.0</v>
      </c>
      <c r="G344" s="14">
        <v>8.1</v>
      </c>
      <c r="H344" s="15">
        <v>5.265</v>
      </c>
      <c r="I344" s="15">
        <v>16706.169</v>
      </c>
      <c r="J344" s="15">
        <v>61774.568999999996</v>
      </c>
      <c r="K344" s="15">
        <v>137.781</v>
      </c>
      <c r="L344" s="15">
        <v>1364.607</v>
      </c>
      <c r="M344" s="15">
        <v>7.857</v>
      </c>
      <c r="N344" s="15">
        <v>5.0</v>
      </c>
      <c r="O344" s="15">
        <v>6.0</v>
      </c>
      <c r="P344" s="14">
        <v>9.0</v>
      </c>
      <c r="Q344" s="17" t="str">
        <f t="shared" si="1"/>
        <v>1.5</v>
      </c>
      <c r="R344" s="17" t="str">
        <f t="shared" si="2"/>
        <v>1.492307692</v>
      </c>
      <c r="S344" s="17" t="str">
        <f t="shared" si="8"/>
        <v>1.2</v>
      </c>
      <c r="T344" s="17" t="s">
        <v>30</v>
      </c>
      <c r="U344" s="17" t="str">
        <f>IF(R344&gt;1,"Thermal Fault &lt;700c, thermal fault &gt;700c ")</f>
        <v>Thermal Fault &lt;700c, thermal fault &gt;700c </v>
      </c>
      <c r="V344" s="17" t="s">
        <v>37</v>
      </c>
      <c r="W344" s="17" t="str">
        <f t="shared" si="3"/>
        <v>1.5</v>
      </c>
      <c r="X344" s="17" t="str">
        <f t="shared" si="33"/>
        <v>1.492307692</v>
      </c>
      <c r="Y344" s="17" t="str">
        <f t="shared" si="9"/>
        <v>1.2</v>
      </c>
      <c r="Z344" s="17" t="str">
        <f>IF(W344&gt;1,"Discharge of Low Energy,  ",IF(W344&lt;0.1,"Thermal  Fault&gt; 300c and&lt;700 c"))</f>
        <v>Discharge of Low Energy,  </v>
      </c>
      <c r="AA344" s="17" t="str">
        <f>IF(X344&lt;0.1,"Partial Discharges, ",IF(X344&gt;1,"Thermal  Fault &gt;300c and&lt;700 and &gt;700 c"))</f>
        <v>Thermal  Fault &gt;300c and&lt;700 and &gt;700 c</v>
      </c>
      <c r="AB344" s="17" t="str">
        <f t="shared" si="304"/>
        <v>Thermal  Fault  &gt;700 c</v>
      </c>
      <c r="AC344" s="17" t="str">
        <f t="shared" si="5"/>
        <v>1.492307692</v>
      </c>
      <c r="AD344" s="18" t="str">
        <f t="shared" si="10"/>
        <v>1.5</v>
      </c>
      <c r="AE344" s="17" t="str">
        <f t="shared" si="6"/>
        <v>1.145475372</v>
      </c>
      <c r="AF344" s="17" t="str">
        <f t="shared" si="11"/>
        <v>0.5555555556</v>
      </c>
      <c r="AG344" s="17" t="str">
        <f>IF(AC344&gt;1,"Thermal Decomposition, ",IF(AC344&lt;0.1,"Corona,Arching"))</f>
        <v>Thermal Decomposition, </v>
      </c>
      <c r="AH344" s="17" t="str">
        <f t="shared" si="307"/>
        <v>Arching</v>
      </c>
      <c r="AI344" s="17" t="str">
        <f t="shared" si="16"/>
        <v>Arching</v>
      </c>
      <c r="AJ344" s="17" t="str">
        <f t="shared" si="235"/>
        <v>Thermal Decomposition,corona </v>
      </c>
    </row>
    <row r="345" ht="12.75" customHeight="1">
      <c r="A345" s="11">
        <v>343.0</v>
      </c>
      <c r="B345" s="14" t="s">
        <v>152</v>
      </c>
      <c r="C345" s="14" t="s">
        <v>147</v>
      </c>
      <c r="D345" s="14" t="s">
        <v>357</v>
      </c>
      <c r="E345" s="14" t="s">
        <v>358</v>
      </c>
      <c r="F345" s="14">
        <v>2012.0</v>
      </c>
      <c r="G345" s="14">
        <v>8.1</v>
      </c>
      <c r="H345" s="15">
        <v>6.075</v>
      </c>
      <c r="I345" s="15">
        <v>15265.583999999999</v>
      </c>
      <c r="J345" s="15">
        <v>63442.68299999999</v>
      </c>
      <c r="K345" s="15">
        <v>120.204</v>
      </c>
      <c r="L345" s="15">
        <v>1002.294</v>
      </c>
      <c r="M345" s="15">
        <v>4.941</v>
      </c>
      <c r="N345" s="15">
        <v>7.0</v>
      </c>
      <c r="O345" s="15">
        <v>5.0</v>
      </c>
      <c r="P345" s="14">
        <v>5.0</v>
      </c>
      <c r="Q345" s="17" t="str">
        <f t="shared" si="1"/>
        <v>1</v>
      </c>
      <c r="R345" s="17" t="str">
        <f t="shared" si="2"/>
        <v>0.8133333333</v>
      </c>
      <c r="S345" s="17" t="str">
        <f t="shared" si="8"/>
        <v>0.7142857143</v>
      </c>
      <c r="T345" s="17" t="s">
        <v>30</v>
      </c>
      <c r="U345" s="17" t="s">
        <v>31</v>
      </c>
      <c r="V345" s="17" t="str">
        <f t="shared" ref="V345:V348" si="308">IF(S345&lt;1,"Partial discharge, Normal ",IF(S345&gt;3,"Arching,Thermal  Fault &gt; 700 c"))</f>
        <v>Partial discharge, Normal </v>
      </c>
      <c r="W345" s="17" t="str">
        <f t="shared" si="3"/>
        <v>1</v>
      </c>
      <c r="X345" s="17" t="str">
        <f t="shared" si="33"/>
        <v>0.8133333333</v>
      </c>
      <c r="Y345" s="17" t="str">
        <f t="shared" si="9"/>
        <v>0.7142857143</v>
      </c>
      <c r="Z345" s="17" t="s">
        <v>34</v>
      </c>
      <c r="AA345" s="17" t="s">
        <v>34</v>
      </c>
      <c r="AB345" s="17" t="s">
        <v>107</v>
      </c>
      <c r="AC345" s="17" t="str">
        <f t="shared" si="5"/>
        <v>0.8133333333</v>
      </c>
      <c r="AD345" s="18" t="str">
        <f t="shared" si="10"/>
        <v>1</v>
      </c>
      <c r="AE345" s="17" t="str">
        <f t="shared" si="6"/>
        <v>1.011940903</v>
      </c>
      <c r="AF345" s="17" t="str">
        <f t="shared" si="11"/>
        <v>1.4</v>
      </c>
      <c r="AG345" s="17" t="s">
        <v>30</v>
      </c>
      <c r="AH345" s="17" t="str">
        <f t="shared" si="307"/>
        <v>Arching</v>
      </c>
      <c r="AI345" s="17" t="str">
        <f t="shared" si="16"/>
        <v>Arching</v>
      </c>
      <c r="AJ345" s="17" t="str">
        <f t="shared" si="235"/>
        <v>Thermal Decomposition,corona </v>
      </c>
    </row>
    <row r="346" ht="12.75" customHeight="1">
      <c r="A346" s="11">
        <v>344.0</v>
      </c>
      <c r="B346" s="14" t="s">
        <v>153</v>
      </c>
      <c r="C346" s="14" t="s">
        <v>147</v>
      </c>
      <c r="D346" s="14" t="s">
        <v>357</v>
      </c>
      <c r="E346" s="14" t="s">
        <v>358</v>
      </c>
      <c r="F346" s="14">
        <v>2012.0</v>
      </c>
      <c r="G346" s="14">
        <v>8.3</v>
      </c>
      <c r="H346" s="15">
        <v>3.6520000000000006</v>
      </c>
      <c r="I346" s="15">
        <v>16420.056000000004</v>
      </c>
      <c r="J346" s="15">
        <v>64298.85500000002</v>
      </c>
      <c r="K346" s="15">
        <v>134.792</v>
      </c>
      <c r="L346" s="15">
        <v>1453.247</v>
      </c>
      <c r="M346" s="15">
        <v>2.7390000000000003</v>
      </c>
      <c r="N346" s="15">
        <v>8.0</v>
      </c>
      <c r="O346" s="15">
        <v>4.0</v>
      </c>
      <c r="P346" s="14">
        <v>9.0</v>
      </c>
      <c r="Q346" s="17" t="str">
        <f t="shared" si="1"/>
        <v>2.25</v>
      </c>
      <c r="R346" s="17" t="str">
        <f t="shared" si="2"/>
        <v>0.75</v>
      </c>
      <c r="S346" s="17" t="str">
        <f t="shared" si="8"/>
        <v>0.5</v>
      </c>
      <c r="T346" s="17" t="s">
        <v>30</v>
      </c>
      <c r="U346" s="17" t="s">
        <v>31</v>
      </c>
      <c r="V346" s="17" t="str">
        <f t="shared" si="308"/>
        <v>Partial discharge, Normal </v>
      </c>
      <c r="W346" s="17" t="str">
        <f t="shared" si="3"/>
        <v>2.25</v>
      </c>
      <c r="X346" s="17" t="str">
        <f t="shared" si="33"/>
        <v>0.75</v>
      </c>
      <c r="Y346" s="17" t="str">
        <f t="shared" si="9"/>
        <v>0.5</v>
      </c>
      <c r="Z346" s="17" t="str">
        <f>IF(W346&gt;1,"Discharge of Low Energy,  ",IF(W346&lt;0.1,"Thermal  Fault&gt; 300c and&lt;700 c"))</f>
        <v>Discharge of Low Energy,  </v>
      </c>
      <c r="AA346" s="17" t="s">
        <v>34</v>
      </c>
      <c r="AB346" s="17" t="s">
        <v>107</v>
      </c>
      <c r="AC346" s="17" t="str">
        <f t="shared" si="5"/>
        <v>0.75</v>
      </c>
      <c r="AD346" s="18" t="str">
        <f t="shared" si="10"/>
        <v>2.25</v>
      </c>
      <c r="AE346" s="17" t="str">
        <f t="shared" si="6"/>
        <v>3.285870756</v>
      </c>
      <c r="AF346" s="17" t="str">
        <f t="shared" si="11"/>
        <v>0.8888888889</v>
      </c>
      <c r="AG346" s="17" t="s">
        <v>30</v>
      </c>
      <c r="AH346" s="17" t="str">
        <f t="shared" si="307"/>
        <v>Arching</v>
      </c>
      <c r="AI346" s="17" t="str">
        <f t="shared" si="16"/>
        <v>Arching</v>
      </c>
      <c r="AJ346" s="17" t="str">
        <f t="shared" si="235"/>
        <v>Thermal Decomposition,corona </v>
      </c>
    </row>
    <row r="347" ht="12.75" customHeight="1">
      <c r="A347" s="11">
        <v>345.0</v>
      </c>
      <c r="B347" s="14" t="s">
        <v>154</v>
      </c>
      <c r="C347" s="14" t="s">
        <v>147</v>
      </c>
      <c r="D347" s="14" t="s">
        <v>357</v>
      </c>
      <c r="E347" s="14" t="s">
        <v>358</v>
      </c>
      <c r="F347" s="14">
        <v>2012.0</v>
      </c>
      <c r="G347" s="14">
        <v>7.9</v>
      </c>
      <c r="H347" s="15">
        <v>5.688</v>
      </c>
      <c r="I347" s="15">
        <v>15545.462000000001</v>
      </c>
      <c r="J347" s="15">
        <v>61082.721000000005</v>
      </c>
      <c r="K347" s="15">
        <v>111.311</v>
      </c>
      <c r="L347" s="15">
        <v>1200.247</v>
      </c>
      <c r="M347" s="15">
        <v>8.0</v>
      </c>
      <c r="N347" s="15">
        <v>9.0</v>
      </c>
      <c r="O347" s="15">
        <v>8.0</v>
      </c>
      <c r="P347" s="14">
        <v>4.0</v>
      </c>
      <c r="Q347" s="17" t="str">
        <f t="shared" si="1"/>
        <v>0.5</v>
      </c>
      <c r="R347" s="17" t="str">
        <f t="shared" si="2"/>
        <v>1.406469761</v>
      </c>
      <c r="S347" s="17" t="str">
        <f t="shared" si="8"/>
        <v>0.8888888889</v>
      </c>
      <c r="T347" s="17" t="str">
        <f>IF(Q347&lt;1,"Partial discharge,Low Temprature thermal fault,")</f>
        <v>Partial discharge,Low Temprature thermal fault,</v>
      </c>
      <c r="U347" s="17" t="str">
        <f>IF(R347&lt;0.1, "Partial discharge", "Low temperature thermal ")</f>
        <v>Low temperature thermal </v>
      </c>
      <c r="V347" s="17" t="str">
        <f t="shared" si="308"/>
        <v>Partial discharge, Normal </v>
      </c>
      <c r="W347" s="17" t="str">
        <f t="shared" si="3"/>
        <v>0.5</v>
      </c>
      <c r="X347" s="17" t="str">
        <f t="shared" si="33"/>
        <v>1.406469761</v>
      </c>
      <c r="Y347" s="17" t="str">
        <f t="shared" si="9"/>
        <v>0.8888888889</v>
      </c>
      <c r="Z347" s="17" t="s">
        <v>34</v>
      </c>
      <c r="AA347" s="17" t="str">
        <f>IF(X347&lt;0.1,"Partial Discharges, ",IF(X347&gt;1,"Thermal  Fault &gt;300c and&lt;700 and &gt;700 c"))</f>
        <v>Thermal  Fault &gt;300c and&lt;700 and &gt;700 c</v>
      </c>
      <c r="AB347" s="17" t="s">
        <v>107</v>
      </c>
      <c r="AC347" s="17" t="str">
        <f t="shared" si="5"/>
        <v>1.406469761</v>
      </c>
      <c r="AD347" s="18" t="str">
        <f t="shared" si="10"/>
        <v>0.5</v>
      </c>
      <c r="AE347" s="17" t="str">
        <f t="shared" si="6"/>
        <v>0.5</v>
      </c>
      <c r="AF347" s="17" t="str">
        <f t="shared" si="11"/>
        <v>2.25</v>
      </c>
      <c r="AG347" s="17" t="str">
        <f>IF(AC347&gt;1,"Thermal Decomposition, ",IF(AC347&lt;0.1,"Corona,Arching"))</f>
        <v>Thermal Decomposition, </v>
      </c>
      <c r="AH347" s="17" t="str">
        <f t="shared" si="307"/>
        <v>Thermal Decomposition, </v>
      </c>
      <c r="AI347" s="17" t="str">
        <f t="shared" si="16"/>
        <v>Arching</v>
      </c>
      <c r="AJ347" s="17" t="str">
        <f t="shared" si="235"/>
        <v>Thermal Decomposition,corona </v>
      </c>
    </row>
    <row r="348" ht="12.75" customHeight="1">
      <c r="A348" s="11">
        <v>346.0</v>
      </c>
      <c r="B348" s="17" t="s">
        <v>146</v>
      </c>
      <c r="C348" s="17" t="s">
        <v>147</v>
      </c>
      <c r="D348" s="14" t="s">
        <v>357</v>
      </c>
      <c r="E348" s="17" t="s">
        <v>358</v>
      </c>
      <c r="F348" s="17">
        <v>2012.0</v>
      </c>
      <c r="G348" s="17">
        <v>7.9</v>
      </c>
      <c r="H348" s="16">
        <v>5.925</v>
      </c>
      <c r="I348" s="16">
        <v>16278.661</v>
      </c>
      <c r="J348" s="16">
        <v>60555.71200000001</v>
      </c>
      <c r="K348" s="16">
        <v>110.12600000000002</v>
      </c>
      <c r="L348" s="16">
        <v>1142.182</v>
      </c>
      <c r="M348" s="16">
        <v>5.609000000000001</v>
      </c>
      <c r="N348" s="16">
        <v>9.0</v>
      </c>
      <c r="O348" s="16">
        <v>5.0</v>
      </c>
      <c r="P348" s="17">
        <v>8.0</v>
      </c>
      <c r="Q348" s="17" t="str">
        <f t="shared" si="1"/>
        <v>1.6</v>
      </c>
      <c r="R348" s="17" t="str">
        <f t="shared" si="2"/>
        <v>0.9466666667</v>
      </c>
      <c r="S348" s="17" t="str">
        <f t="shared" si="8"/>
        <v>0.5555555556</v>
      </c>
      <c r="T348" s="17" t="s">
        <v>30</v>
      </c>
      <c r="U348" s="17" t="s">
        <v>31</v>
      </c>
      <c r="V348" s="17" t="str">
        <f t="shared" si="308"/>
        <v>Partial discharge, Normal </v>
      </c>
      <c r="W348" s="17" t="str">
        <f t="shared" si="3"/>
        <v>1.6</v>
      </c>
      <c r="X348" s="17" t="str">
        <f t="shared" si="33"/>
        <v>0.9466666667</v>
      </c>
      <c r="Y348" s="17" t="str">
        <f t="shared" si="9"/>
        <v>0.5555555556</v>
      </c>
      <c r="Z348" s="17" t="str">
        <f>IF(W348&gt;1,"Discharge of Low Energy,  ",IF(W348&lt;0.1,"Thermal  Fault&gt; 300c and&lt;700 c"))</f>
        <v>Discharge of Low Energy,  </v>
      </c>
      <c r="AA348" s="17" t="s">
        <v>34</v>
      </c>
      <c r="AB348" s="17" t="s">
        <v>107</v>
      </c>
      <c r="AC348" s="17" t="str">
        <f t="shared" si="5"/>
        <v>0.9466666667</v>
      </c>
      <c r="AD348" s="18" t="str">
        <f t="shared" si="10"/>
        <v>1.6</v>
      </c>
      <c r="AE348" s="17" t="str">
        <f t="shared" si="6"/>
        <v>1.426279194</v>
      </c>
      <c r="AF348" s="17" t="str">
        <f t="shared" si="11"/>
        <v>1.125</v>
      </c>
      <c r="AG348" s="17" t="s">
        <v>30</v>
      </c>
      <c r="AH348" s="17" t="str">
        <f t="shared" si="307"/>
        <v>Arching</v>
      </c>
      <c r="AI348" s="17" t="str">
        <f t="shared" si="16"/>
        <v>Arching</v>
      </c>
      <c r="AJ348" s="17" t="str">
        <f t="shared" si="235"/>
        <v>Thermal Decomposition,corona </v>
      </c>
    </row>
    <row r="349" ht="12.75" customHeight="1">
      <c r="A349" s="11">
        <v>347.0</v>
      </c>
      <c r="B349" s="17" t="s">
        <v>150</v>
      </c>
      <c r="C349" s="17" t="s">
        <v>147</v>
      </c>
      <c r="D349" s="14" t="s">
        <v>357</v>
      </c>
      <c r="E349" s="17" t="s">
        <v>358</v>
      </c>
      <c r="F349" s="17">
        <v>2012.0</v>
      </c>
      <c r="G349" s="17">
        <v>8.5</v>
      </c>
      <c r="H349" s="16">
        <v>5.44</v>
      </c>
      <c r="I349" s="16">
        <v>17801.72</v>
      </c>
      <c r="J349" s="16">
        <v>65757.27500000001</v>
      </c>
      <c r="K349" s="16">
        <v>105.99499999999999</v>
      </c>
      <c r="L349" s="16">
        <v>891.0550000000001</v>
      </c>
      <c r="M349" s="16">
        <v>2.8899999999999997</v>
      </c>
      <c r="N349" s="16">
        <v>7.0</v>
      </c>
      <c r="O349" s="16">
        <v>9.0</v>
      </c>
      <c r="P349" s="17">
        <v>8.0</v>
      </c>
      <c r="Q349" s="17" t="str">
        <f t="shared" si="1"/>
        <v>0.8888888889</v>
      </c>
      <c r="R349" s="17" t="str">
        <f t="shared" si="2"/>
        <v>0.53125</v>
      </c>
      <c r="S349" s="17" t="str">
        <f t="shared" si="8"/>
        <v>1.285714286</v>
      </c>
      <c r="T349" s="17" t="str">
        <f>IF(Q349&lt;1,"Partial discharge,Low Temprature thermal fault,")</f>
        <v>Partial discharge,Low Temprature thermal fault,</v>
      </c>
      <c r="U349" s="17" t="s">
        <v>31</v>
      </c>
      <c r="V349" s="17" t="s">
        <v>37</v>
      </c>
      <c r="W349" s="17" t="str">
        <f t="shared" si="3"/>
        <v>0.8888888889</v>
      </c>
      <c r="X349" s="17" t="str">
        <f t="shared" si="33"/>
        <v>0.53125</v>
      </c>
      <c r="Y349" s="17" t="str">
        <f t="shared" si="9"/>
        <v>1.285714286</v>
      </c>
      <c r="Z349" s="17" t="s">
        <v>34</v>
      </c>
      <c r="AA349" s="17" t="s">
        <v>34</v>
      </c>
      <c r="AB349" s="17" t="str">
        <f>IF(Y349&lt;0.2,"Partial Discharges, ",IF(Y349&gt;1,"Thermal  Fault  &gt;700 c"))</f>
        <v>Thermal  Fault  &gt;700 c</v>
      </c>
      <c r="AC349" s="17" t="str">
        <f t="shared" si="5"/>
        <v>0.53125</v>
      </c>
      <c r="AD349" s="18" t="str">
        <f t="shared" si="10"/>
        <v>0.8888888889</v>
      </c>
      <c r="AE349" s="17" t="str">
        <f t="shared" si="6"/>
        <v>2.76816609</v>
      </c>
      <c r="AF349" s="17" t="str">
        <f t="shared" si="11"/>
        <v>0.875</v>
      </c>
      <c r="AG349" s="17" t="s">
        <v>30</v>
      </c>
      <c r="AH349" s="17" t="str">
        <f t="shared" si="307"/>
        <v>Arching</v>
      </c>
      <c r="AI349" s="17" t="str">
        <f t="shared" si="16"/>
        <v>Arching</v>
      </c>
      <c r="AJ349" s="17" t="str">
        <f t="shared" si="235"/>
        <v>Thermal Decomposition,corona </v>
      </c>
    </row>
    <row r="350" ht="12.75" customHeight="1">
      <c r="A350" s="11">
        <v>348.0</v>
      </c>
      <c r="B350" s="17" t="s">
        <v>151</v>
      </c>
      <c r="C350" s="17" t="s">
        <v>147</v>
      </c>
      <c r="D350" s="14" t="s">
        <v>357</v>
      </c>
      <c r="E350" s="17" t="s">
        <v>358</v>
      </c>
      <c r="F350" s="17">
        <v>2012.0</v>
      </c>
      <c r="G350" s="17">
        <v>8.4</v>
      </c>
      <c r="H350" s="16">
        <v>2.9400000000000004</v>
      </c>
      <c r="I350" s="16">
        <v>16325.904000000002</v>
      </c>
      <c r="J350" s="16">
        <v>65061.612</v>
      </c>
      <c r="K350" s="16">
        <v>118.27200000000002</v>
      </c>
      <c r="L350" s="16">
        <v>1426.8240000000003</v>
      </c>
      <c r="M350" s="16">
        <v>1.764</v>
      </c>
      <c r="N350" s="16">
        <v>6.0</v>
      </c>
      <c r="O350" s="16">
        <v>1.596</v>
      </c>
      <c r="P350" s="17">
        <v>2.0</v>
      </c>
      <c r="Q350" s="17" t="str">
        <f t="shared" si="1"/>
        <v>1.253132832</v>
      </c>
      <c r="R350" s="17" t="str">
        <f t="shared" si="2"/>
        <v>0.6</v>
      </c>
      <c r="S350" s="17" t="str">
        <f t="shared" si="8"/>
        <v>0.266</v>
      </c>
      <c r="T350" s="17" t="s">
        <v>30</v>
      </c>
      <c r="U350" s="17" t="s">
        <v>31</v>
      </c>
      <c r="V350" s="17" t="str">
        <f>IF(S350&lt;1,"Partial discharge, Normal ",IF(S350&gt;3,"Arching,Thermal  Fault &gt; 700 c"))</f>
        <v>Partial discharge, Normal </v>
      </c>
      <c r="W350" s="17" t="str">
        <f t="shared" si="3"/>
        <v>1.253132832</v>
      </c>
      <c r="X350" s="17" t="str">
        <f t="shared" si="33"/>
        <v>0.6</v>
      </c>
      <c r="Y350" s="17" t="str">
        <f t="shared" si="9"/>
        <v>0.266</v>
      </c>
      <c r="Z350" s="17" t="str">
        <f>IF(W350&gt;1,"Discharge of Low Energy,  ",IF(W350&lt;0.1,"Thermal  Fault&gt; 300c and&lt;700 c"))</f>
        <v>Discharge of Low Energy,  </v>
      </c>
      <c r="AA350" s="17" t="s">
        <v>34</v>
      </c>
      <c r="AB350" s="17" t="s">
        <v>107</v>
      </c>
      <c r="AC350" s="17" t="str">
        <f t="shared" si="5"/>
        <v>0.6</v>
      </c>
      <c r="AD350" s="18" t="str">
        <f t="shared" si="10"/>
        <v>1.253132832</v>
      </c>
      <c r="AE350" s="17" t="str">
        <f t="shared" si="6"/>
        <v>1.133786848</v>
      </c>
      <c r="AF350" s="17" t="str">
        <f t="shared" si="11"/>
        <v>3</v>
      </c>
      <c r="AG350" s="17" t="s">
        <v>30</v>
      </c>
      <c r="AH350" s="17" t="str">
        <f t="shared" si="307"/>
        <v>Arching</v>
      </c>
      <c r="AI350" s="17" t="str">
        <f t="shared" si="16"/>
        <v>Arching</v>
      </c>
      <c r="AJ350" s="17" t="str">
        <f t="shared" si="235"/>
        <v>Thermal Decomposition,corona </v>
      </c>
    </row>
    <row r="351" ht="12.75" customHeight="1">
      <c r="A351" s="11">
        <v>349.0</v>
      </c>
      <c r="B351" s="17" t="s">
        <v>360</v>
      </c>
      <c r="C351" s="17" t="s">
        <v>147</v>
      </c>
      <c r="D351" s="14" t="s">
        <v>357</v>
      </c>
      <c r="E351" s="17" t="s">
        <v>358</v>
      </c>
      <c r="F351" s="17">
        <v>2012.0</v>
      </c>
      <c r="G351" s="17">
        <v>7.6</v>
      </c>
      <c r="H351" s="16">
        <v>7.524</v>
      </c>
      <c r="I351" s="16">
        <v>14179.016000000001</v>
      </c>
      <c r="J351" s="16">
        <v>59891.344000000005</v>
      </c>
      <c r="K351" s="16">
        <v>115.36799999999998</v>
      </c>
      <c r="L351" s="16">
        <v>1288.124</v>
      </c>
      <c r="M351" s="16">
        <v>6.839999999999999</v>
      </c>
      <c r="N351" s="16">
        <v>4.0</v>
      </c>
      <c r="O351" s="16">
        <v>8.0</v>
      </c>
      <c r="P351" s="17">
        <v>4.0</v>
      </c>
      <c r="Q351" s="17" t="str">
        <f t="shared" si="1"/>
        <v>0.5</v>
      </c>
      <c r="R351" s="17" t="str">
        <f t="shared" si="2"/>
        <v>0.9090909091</v>
      </c>
      <c r="S351" s="17" t="str">
        <f t="shared" si="8"/>
        <v>2</v>
      </c>
      <c r="T351" s="17" t="str">
        <f>IF(Q351&lt;1,"Partial discharge,Low Temprature thermal fault,")</f>
        <v>Partial discharge,Low Temprature thermal fault,</v>
      </c>
      <c r="U351" s="17" t="s">
        <v>31</v>
      </c>
      <c r="V351" s="17" t="s">
        <v>37</v>
      </c>
      <c r="W351" s="17" t="str">
        <f t="shared" si="3"/>
        <v>0.5</v>
      </c>
      <c r="X351" s="17" t="str">
        <f t="shared" si="33"/>
        <v>0.9090909091</v>
      </c>
      <c r="Y351" s="17" t="str">
        <f t="shared" si="9"/>
        <v>2</v>
      </c>
      <c r="Z351" s="17" t="s">
        <v>34</v>
      </c>
      <c r="AA351" s="17" t="s">
        <v>34</v>
      </c>
      <c r="AB351" s="17" t="str">
        <f t="shared" ref="AB351:AB352" si="309">IF(Y351&lt;0.2,"Partial Discharges, ",IF(Y351&gt;1,"Thermal  Fault  &gt;700 c"))</f>
        <v>Thermal  Fault  &gt;700 c</v>
      </c>
      <c r="AC351" s="17" t="str">
        <f t="shared" si="5"/>
        <v>0.9090909091</v>
      </c>
      <c r="AD351" s="18" t="str">
        <f t="shared" si="10"/>
        <v>0.5</v>
      </c>
      <c r="AE351" s="17" t="str">
        <f t="shared" si="6"/>
        <v>0.5847953216</v>
      </c>
      <c r="AF351" s="17" t="str">
        <f t="shared" si="11"/>
        <v>1</v>
      </c>
      <c r="AG351" s="17" t="s">
        <v>30</v>
      </c>
      <c r="AH351" s="17" t="str">
        <f t="shared" si="307"/>
        <v>Thermal Decomposition, </v>
      </c>
      <c r="AI351" s="17" t="str">
        <f t="shared" si="16"/>
        <v>Arching</v>
      </c>
      <c r="AJ351" s="17" t="str">
        <f t="shared" si="235"/>
        <v>Thermal Decomposition,corona </v>
      </c>
    </row>
    <row r="352" ht="12.75" customHeight="1">
      <c r="A352" s="11">
        <v>350.0</v>
      </c>
      <c r="B352" s="17" t="s">
        <v>163</v>
      </c>
      <c r="C352" s="17" t="s">
        <v>147</v>
      </c>
      <c r="D352" s="14" t="s">
        <v>357</v>
      </c>
      <c r="E352" s="17" t="s">
        <v>358</v>
      </c>
      <c r="F352" s="17">
        <v>2012.0</v>
      </c>
      <c r="G352" s="17">
        <v>7.8</v>
      </c>
      <c r="H352" s="16">
        <v>5.303999999999999</v>
      </c>
      <c r="I352" s="16">
        <v>15835.481999999998</v>
      </c>
      <c r="J352" s="16">
        <v>60022.63799999999</v>
      </c>
      <c r="K352" s="16">
        <v>117.46800000000002</v>
      </c>
      <c r="L352" s="16">
        <v>1188.876</v>
      </c>
      <c r="M352" s="16">
        <v>8.658000000000001</v>
      </c>
      <c r="N352" s="16">
        <v>7.0</v>
      </c>
      <c r="O352" s="16">
        <v>1.248</v>
      </c>
      <c r="P352" s="17">
        <v>7.0</v>
      </c>
      <c r="Q352" s="17" t="str">
        <f t="shared" si="1"/>
        <v>5.608974359</v>
      </c>
      <c r="R352" s="17" t="str">
        <f t="shared" si="2"/>
        <v>1.632352941</v>
      </c>
      <c r="S352" s="17" t="str">
        <f t="shared" si="8"/>
        <v>0.1782857143</v>
      </c>
      <c r="T352" s="17" t="s">
        <v>30</v>
      </c>
      <c r="U352" s="17" t="str">
        <f t="shared" ref="U352:U361" si="310">IF(R352&gt;1,"Thermal Fault &lt;700c, thermal fault &gt;700c ")</f>
        <v>Thermal Fault &lt;700c, thermal fault &gt;700c </v>
      </c>
      <c r="V352" s="17" t="str">
        <f>IF(S352&lt;1,"Partial discharge, Normal ",IF(S352&gt;3,"Arching,Thermal  Fault &gt; 700 c"))</f>
        <v>Partial discharge, Normal </v>
      </c>
      <c r="W352" s="17" t="str">
        <f t="shared" si="3"/>
        <v>5.608974359</v>
      </c>
      <c r="X352" s="17" t="str">
        <f t="shared" si="33"/>
        <v>1.632352941</v>
      </c>
      <c r="Y352" s="17" t="str">
        <f t="shared" si="9"/>
        <v>0.1782857143</v>
      </c>
      <c r="Z352" s="17" t="str">
        <f>IF(W352&gt;1,"Discharge of Low Energy,  ",IF(W352&lt;0.1,"Thermal  Fault&gt; 300c and&lt;700 c"))</f>
        <v>Discharge of Low Energy,  </v>
      </c>
      <c r="AA352" s="17" t="str">
        <f t="shared" ref="AA352:AA367" si="311">IF(X352&lt;0.1,"Partial Discharges, ",IF(X352&gt;1,"Thermal  Fault &gt;300c and&lt;700 and &gt;700 c"))</f>
        <v>Thermal  Fault &gt;300c and&lt;700 and &gt;700 c</v>
      </c>
      <c r="AB352" s="17" t="str">
        <f t="shared" si="309"/>
        <v>Partial Discharges, </v>
      </c>
      <c r="AC352" s="17" t="str">
        <f t="shared" si="5"/>
        <v>1.632352941</v>
      </c>
      <c r="AD352" s="18" t="str">
        <f t="shared" si="10"/>
        <v>5.608974359</v>
      </c>
      <c r="AE352" s="17" t="str">
        <f t="shared" si="6"/>
        <v>0.8085008085</v>
      </c>
      <c r="AF352" s="17" t="str">
        <f t="shared" si="11"/>
        <v>1</v>
      </c>
      <c r="AG352" s="17" t="str">
        <f t="shared" ref="AG352:AG367" si="312">IF(AC352&gt;1,"Thermal Decomposition, ",IF(AC352&lt;0.1,"Corona,Arching"))</f>
        <v>Thermal Decomposition, </v>
      </c>
      <c r="AH352" s="17" t="str">
        <f t="shared" si="307"/>
        <v>Arching</v>
      </c>
      <c r="AI352" s="17" t="str">
        <f t="shared" si="16"/>
        <v>Arching</v>
      </c>
      <c r="AJ352" s="17" t="str">
        <f t="shared" si="235"/>
        <v>Thermal Decomposition,corona </v>
      </c>
    </row>
    <row r="353" ht="12.75" customHeight="1">
      <c r="A353" s="11">
        <v>351.0</v>
      </c>
      <c r="B353" s="17" t="s">
        <v>164</v>
      </c>
      <c r="C353" s="17" t="s">
        <v>147</v>
      </c>
      <c r="D353" s="14" t="s">
        <v>357</v>
      </c>
      <c r="E353" s="17" t="s">
        <v>358</v>
      </c>
      <c r="F353" s="17">
        <v>2012.0</v>
      </c>
      <c r="G353" s="17">
        <v>7.9</v>
      </c>
      <c r="H353" s="16">
        <v>6.7940000000000005</v>
      </c>
      <c r="I353" s="16">
        <v>13842.142999999998</v>
      </c>
      <c r="J353" s="16">
        <v>62812.584</v>
      </c>
      <c r="K353" s="16">
        <v>140.383</v>
      </c>
      <c r="L353" s="16">
        <v>1332.5720000000001</v>
      </c>
      <c r="M353" s="16">
        <v>9.243000000000002</v>
      </c>
      <c r="N353" s="16">
        <v>8.0</v>
      </c>
      <c r="O353" s="16">
        <v>8.0</v>
      </c>
      <c r="P353" s="17">
        <v>2.0</v>
      </c>
      <c r="Q353" s="17" t="str">
        <f t="shared" si="1"/>
        <v>0.25</v>
      </c>
      <c r="R353" s="17" t="str">
        <f t="shared" si="2"/>
        <v>1.360465116</v>
      </c>
      <c r="S353" s="17" t="str">
        <f t="shared" si="8"/>
        <v>1</v>
      </c>
      <c r="T353" s="17" t="str">
        <f>IF(Q353&lt;1,"Partial discharge,Low Temprature thermal fault,")</f>
        <v>Partial discharge,Low Temprature thermal fault,</v>
      </c>
      <c r="U353" s="17" t="str">
        <f t="shared" si="310"/>
        <v>Thermal Fault &lt;700c, thermal fault &gt;700c </v>
      </c>
      <c r="V353" s="17" t="s">
        <v>37</v>
      </c>
      <c r="W353" s="17" t="str">
        <f t="shared" si="3"/>
        <v>0.25</v>
      </c>
      <c r="X353" s="17" t="str">
        <f t="shared" si="33"/>
        <v>1.360465116</v>
      </c>
      <c r="Y353" s="17" t="str">
        <f t="shared" si="9"/>
        <v>1</v>
      </c>
      <c r="Z353" s="17" t="s">
        <v>34</v>
      </c>
      <c r="AA353" s="17" t="str">
        <f t="shared" si="311"/>
        <v>Thermal  Fault &gt;300c and&lt;700 and &gt;700 c</v>
      </c>
      <c r="AB353" s="17" t="s">
        <v>107</v>
      </c>
      <c r="AC353" s="17" t="str">
        <f t="shared" si="5"/>
        <v>1.360465116</v>
      </c>
      <c r="AD353" s="18" t="str">
        <f t="shared" si="10"/>
        <v>0.25</v>
      </c>
      <c r="AE353" s="17" t="str">
        <f t="shared" si="6"/>
        <v>0.2163799632</v>
      </c>
      <c r="AF353" s="17" t="str">
        <f t="shared" si="11"/>
        <v>4</v>
      </c>
      <c r="AG353" s="17" t="str">
        <f t="shared" si="312"/>
        <v>Thermal Decomposition, </v>
      </c>
      <c r="AH353" s="17" t="str">
        <f t="shared" si="307"/>
        <v>Thermal Decomposition, </v>
      </c>
      <c r="AI353" s="17" t="str">
        <f t="shared" si="16"/>
        <v>Thermal Decomposition,corona </v>
      </c>
      <c r="AJ353" s="17" t="str">
        <f t="shared" si="235"/>
        <v>Thermal Decomposition,corona </v>
      </c>
    </row>
    <row r="354" ht="12.75" customHeight="1">
      <c r="A354" s="11">
        <v>352.0</v>
      </c>
      <c r="B354" s="22" t="s">
        <v>67</v>
      </c>
      <c r="C354" s="17" t="s">
        <v>147</v>
      </c>
      <c r="D354" s="14" t="s">
        <v>357</v>
      </c>
      <c r="E354" s="17" t="s">
        <v>358</v>
      </c>
      <c r="F354" s="17">
        <v>2011.0</v>
      </c>
      <c r="G354" s="14">
        <v>8.3</v>
      </c>
      <c r="H354" s="16">
        <v>1.411</v>
      </c>
      <c r="I354" s="15">
        <v>15897.737000000001</v>
      </c>
      <c r="J354" s="15">
        <v>65065.858</v>
      </c>
      <c r="K354" s="15">
        <v>109.477</v>
      </c>
      <c r="L354" s="15">
        <v>1128.551</v>
      </c>
      <c r="M354" s="16">
        <v>8.632000000000001</v>
      </c>
      <c r="N354" s="16">
        <v>4.0</v>
      </c>
      <c r="O354" s="16">
        <v>1.245</v>
      </c>
      <c r="P354" s="17">
        <v>9.0</v>
      </c>
      <c r="Q354" s="17" t="str">
        <f t="shared" si="1"/>
        <v>7.228915663</v>
      </c>
      <c r="R354" s="17" t="str">
        <f t="shared" si="2"/>
        <v>6.117647059</v>
      </c>
      <c r="S354" s="17" t="str">
        <f t="shared" si="8"/>
        <v>0.31125</v>
      </c>
      <c r="T354" s="17" t="s">
        <v>30</v>
      </c>
      <c r="U354" s="17" t="str">
        <f t="shared" si="310"/>
        <v>Thermal Fault &lt;700c, thermal fault &gt;700c </v>
      </c>
      <c r="V354" s="17" t="str">
        <f>IF(S354&lt;1,"Partial discharge, Normal ",IF(S354&gt;3,"Arching,Thermal  Fault &gt; 700 c"))</f>
        <v>Partial discharge, Normal </v>
      </c>
      <c r="W354" s="17" t="str">
        <f t="shared" si="3"/>
        <v>7.228915663</v>
      </c>
      <c r="X354" s="17" t="str">
        <f t="shared" si="33"/>
        <v>6.117647059</v>
      </c>
      <c r="Y354" s="17" t="str">
        <f t="shared" si="9"/>
        <v>0.31125</v>
      </c>
      <c r="Z354" s="17" t="str">
        <f>IF(W354&gt;1,"Discharge of Low Energy,  ",IF(W354&lt;0.1,"Thermal  Fault&gt; 300c and&lt;700 c"))</f>
        <v>Discharge of Low Energy,  </v>
      </c>
      <c r="AA354" s="17" t="str">
        <f t="shared" si="311"/>
        <v>Thermal  Fault &gt;300c and&lt;700 and &gt;700 c</v>
      </c>
      <c r="AB354" s="17" t="s">
        <v>107</v>
      </c>
      <c r="AC354" s="17" t="str">
        <f t="shared" si="5"/>
        <v>6.117647059</v>
      </c>
      <c r="AD354" s="18" t="str">
        <f t="shared" si="10"/>
        <v>7.228915663</v>
      </c>
      <c r="AE354" s="17" t="str">
        <f t="shared" si="6"/>
        <v>1.042632067</v>
      </c>
      <c r="AF354" s="17" t="str">
        <f t="shared" si="11"/>
        <v>0.4444444444</v>
      </c>
      <c r="AG354" s="17" t="str">
        <f t="shared" si="312"/>
        <v>Thermal Decomposition, </v>
      </c>
      <c r="AH354" s="17" t="str">
        <f t="shared" si="307"/>
        <v>Arching</v>
      </c>
      <c r="AI354" s="17" t="str">
        <f t="shared" si="16"/>
        <v>Arching</v>
      </c>
      <c r="AJ354" s="17" t="str">
        <f t="shared" si="235"/>
        <v>Thermal Decomposition,corona </v>
      </c>
    </row>
    <row r="355" ht="12.75" customHeight="1">
      <c r="A355" s="11">
        <v>353.0</v>
      </c>
      <c r="B355" s="17" t="s">
        <v>161</v>
      </c>
      <c r="C355" s="17" t="s">
        <v>147</v>
      </c>
      <c r="D355" s="14" t="s">
        <v>357</v>
      </c>
      <c r="E355" s="17" t="s">
        <v>358</v>
      </c>
      <c r="F355" s="17">
        <v>2011.0</v>
      </c>
      <c r="G355" s="14">
        <v>8.3</v>
      </c>
      <c r="H355" s="16">
        <v>3.0710000000000006</v>
      </c>
      <c r="I355" s="15">
        <v>16509.613</v>
      </c>
      <c r="J355" s="15">
        <v>64537.06500000001</v>
      </c>
      <c r="K355" s="15">
        <v>103.833</v>
      </c>
      <c r="L355" s="15">
        <v>1147.7240000000002</v>
      </c>
      <c r="M355" s="16">
        <v>11.039</v>
      </c>
      <c r="N355" s="16">
        <v>8.0</v>
      </c>
      <c r="O355" s="16">
        <v>8.0</v>
      </c>
      <c r="P355" s="17">
        <v>2.0</v>
      </c>
      <c r="Q355" s="17" t="str">
        <f t="shared" si="1"/>
        <v>0.25</v>
      </c>
      <c r="R355" s="17" t="str">
        <f t="shared" si="2"/>
        <v>3.594594595</v>
      </c>
      <c r="S355" s="17" t="str">
        <f t="shared" si="8"/>
        <v>1</v>
      </c>
      <c r="T355" s="17" t="str">
        <f>IF(Q355&lt;1,"Partial discharge,Low Temprature thermal fault,")</f>
        <v>Partial discharge,Low Temprature thermal fault,</v>
      </c>
      <c r="U355" s="17" t="str">
        <f t="shared" si="310"/>
        <v>Thermal Fault &lt;700c, thermal fault &gt;700c </v>
      </c>
      <c r="V355" s="17" t="s">
        <v>37</v>
      </c>
      <c r="W355" s="17" t="str">
        <f t="shared" si="3"/>
        <v>0.25</v>
      </c>
      <c r="X355" s="17" t="str">
        <f t="shared" si="33"/>
        <v>3.594594595</v>
      </c>
      <c r="Y355" s="17" t="str">
        <f t="shared" si="9"/>
        <v>1</v>
      </c>
      <c r="Z355" s="17" t="s">
        <v>34</v>
      </c>
      <c r="AA355" s="17" t="str">
        <f t="shared" si="311"/>
        <v>Thermal  Fault &gt;300c and&lt;700 and &gt;700 c</v>
      </c>
      <c r="AB355" s="17" t="s">
        <v>107</v>
      </c>
      <c r="AC355" s="17" t="str">
        <f t="shared" si="5"/>
        <v>3.594594595</v>
      </c>
      <c r="AD355" s="18" t="str">
        <f t="shared" si="10"/>
        <v>0.25</v>
      </c>
      <c r="AE355" s="17" t="str">
        <f t="shared" si="6"/>
        <v>0.1811758311</v>
      </c>
      <c r="AF355" s="17" t="str">
        <f t="shared" si="11"/>
        <v>4</v>
      </c>
      <c r="AG355" s="17" t="str">
        <f t="shared" si="312"/>
        <v>Thermal Decomposition, </v>
      </c>
      <c r="AH355" s="17" t="str">
        <f t="shared" si="307"/>
        <v>Thermal Decomposition, </v>
      </c>
      <c r="AI355" s="17" t="str">
        <f t="shared" si="16"/>
        <v>Thermal Decomposition,corona </v>
      </c>
      <c r="AJ355" s="17" t="str">
        <f t="shared" si="235"/>
        <v>Thermal Decomposition,corona </v>
      </c>
    </row>
    <row r="356" ht="12.75" customHeight="1">
      <c r="A356" s="11">
        <v>354.0</v>
      </c>
      <c r="B356" s="22" t="s">
        <v>67</v>
      </c>
      <c r="C356" s="17" t="s">
        <v>147</v>
      </c>
      <c r="D356" s="14" t="s">
        <v>357</v>
      </c>
      <c r="E356" s="17" t="s">
        <v>358</v>
      </c>
      <c r="F356" s="17">
        <v>2011.0</v>
      </c>
      <c r="G356" s="14">
        <v>8.5</v>
      </c>
      <c r="H356" s="16">
        <v>8.159999999999998</v>
      </c>
      <c r="I356" s="15">
        <v>17048.875</v>
      </c>
      <c r="J356" s="15">
        <v>65579.625</v>
      </c>
      <c r="K356" s="15">
        <v>132.09000000000003</v>
      </c>
      <c r="L356" s="15">
        <v>1385.585</v>
      </c>
      <c r="M356" s="16">
        <v>10.965</v>
      </c>
      <c r="N356" s="16">
        <v>8.0</v>
      </c>
      <c r="O356" s="16">
        <v>7.0</v>
      </c>
      <c r="P356" s="17">
        <v>9.0</v>
      </c>
      <c r="Q356" s="17" t="str">
        <f t="shared" si="1"/>
        <v>1.285714286</v>
      </c>
      <c r="R356" s="17" t="str">
        <f t="shared" si="2"/>
        <v>1.34375</v>
      </c>
      <c r="S356" s="17" t="str">
        <f t="shared" si="8"/>
        <v>0.875</v>
      </c>
      <c r="T356" s="17" t="s">
        <v>30</v>
      </c>
      <c r="U356" s="17" t="str">
        <f t="shared" si="310"/>
        <v>Thermal Fault &lt;700c, thermal fault &gt;700c </v>
      </c>
      <c r="V356" s="17" t="str">
        <f t="shared" ref="V356:V357" si="313">IF(S356&lt;1,"Partial discharge, Normal ",IF(S356&gt;3,"Arching,Thermal  Fault &gt; 700 c"))</f>
        <v>Partial discharge, Normal </v>
      </c>
      <c r="W356" s="17" t="str">
        <f t="shared" si="3"/>
        <v>1.285714286</v>
      </c>
      <c r="X356" s="17" t="str">
        <f t="shared" si="33"/>
        <v>1.34375</v>
      </c>
      <c r="Y356" s="17" t="str">
        <f t="shared" si="9"/>
        <v>0.875</v>
      </c>
      <c r="Z356" s="17" t="str">
        <f t="shared" ref="Z356:Z357" si="314">IF(W356&gt;1,"Discharge of Low Energy,  ",IF(W356&lt;0.1,"Thermal  Fault&gt; 300c and&lt;700 c"))</f>
        <v>Discharge of Low Energy,  </v>
      </c>
      <c r="AA356" s="17" t="str">
        <f t="shared" si="311"/>
        <v>Thermal  Fault &gt;300c and&lt;700 and &gt;700 c</v>
      </c>
      <c r="AB356" s="17" t="s">
        <v>107</v>
      </c>
      <c r="AC356" s="17" t="str">
        <f t="shared" si="5"/>
        <v>1.34375</v>
      </c>
      <c r="AD356" s="18" t="str">
        <f t="shared" si="10"/>
        <v>1.285714286</v>
      </c>
      <c r="AE356" s="17" t="str">
        <f t="shared" si="6"/>
        <v>0.8207934337</v>
      </c>
      <c r="AF356" s="17" t="str">
        <f t="shared" si="11"/>
        <v>0.8888888889</v>
      </c>
      <c r="AG356" s="17" t="str">
        <f t="shared" si="312"/>
        <v>Thermal Decomposition, </v>
      </c>
      <c r="AH356" s="17" t="str">
        <f t="shared" si="307"/>
        <v>Arching</v>
      </c>
      <c r="AI356" s="17" t="str">
        <f t="shared" si="16"/>
        <v>Arching</v>
      </c>
      <c r="AJ356" s="17" t="str">
        <f t="shared" si="235"/>
        <v>Thermal Decomposition,corona </v>
      </c>
    </row>
    <row r="357" ht="12.75" customHeight="1">
      <c r="A357" s="11">
        <v>355.0</v>
      </c>
      <c r="B357" s="17" t="s">
        <v>361</v>
      </c>
      <c r="C357" s="17" t="s">
        <v>147</v>
      </c>
      <c r="D357" s="14" t="s">
        <v>357</v>
      </c>
      <c r="E357" s="17" t="s">
        <v>358</v>
      </c>
      <c r="F357" s="17">
        <v>2012.0</v>
      </c>
      <c r="G357" s="14">
        <v>8.2</v>
      </c>
      <c r="H357" s="16">
        <v>2.624</v>
      </c>
      <c r="I357" s="15">
        <v>16669.615999999998</v>
      </c>
      <c r="J357" s="15">
        <v>62508.353999999985</v>
      </c>
      <c r="K357" s="15">
        <v>144.648</v>
      </c>
      <c r="L357" s="15">
        <v>1531.2679999999998</v>
      </c>
      <c r="M357" s="16">
        <v>11.725999999999999</v>
      </c>
      <c r="N357" s="16">
        <v>8.0</v>
      </c>
      <c r="O357" s="16">
        <v>2.87</v>
      </c>
      <c r="P357" s="17">
        <v>8.0</v>
      </c>
      <c r="Q357" s="17" t="str">
        <f t="shared" si="1"/>
        <v>2.787456446</v>
      </c>
      <c r="R357" s="17" t="str">
        <f t="shared" si="2"/>
        <v>4.46875</v>
      </c>
      <c r="S357" s="17" t="str">
        <f t="shared" si="8"/>
        <v>0.35875</v>
      </c>
      <c r="T357" s="17" t="s">
        <v>30</v>
      </c>
      <c r="U357" s="17" t="str">
        <f t="shared" si="310"/>
        <v>Thermal Fault &lt;700c, thermal fault &gt;700c </v>
      </c>
      <c r="V357" s="17" t="str">
        <f t="shared" si="313"/>
        <v>Partial discharge, Normal </v>
      </c>
      <c r="W357" s="17" t="str">
        <f t="shared" si="3"/>
        <v>2.787456446</v>
      </c>
      <c r="X357" s="17" t="str">
        <f t="shared" si="33"/>
        <v>4.46875</v>
      </c>
      <c r="Y357" s="17" t="str">
        <f t="shared" si="9"/>
        <v>0.35875</v>
      </c>
      <c r="Z357" s="17" t="str">
        <f t="shared" si="314"/>
        <v>Discharge of Low Energy,  </v>
      </c>
      <c r="AA357" s="17" t="str">
        <f t="shared" si="311"/>
        <v>Thermal  Fault &gt;300c and&lt;700 and &gt;700 c</v>
      </c>
      <c r="AB357" s="17" t="s">
        <v>107</v>
      </c>
      <c r="AC357" s="17" t="str">
        <f t="shared" si="5"/>
        <v>4.46875</v>
      </c>
      <c r="AD357" s="18" t="str">
        <f t="shared" si="10"/>
        <v>2.787456446</v>
      </c>
      <c r="AE357" s="17" t="str">
        <f t="shared" si="6"/>
        <v>0.6822445847</v>
      </c>
      <c r="AF357" s="17" t="str">
        <f t="shared" si="11"/>
        <v>1</v>
      </c>
      <c r="AG357" s="17" t="str">
        <f t="shared" si="312"/>
        <v>Thermal Decomposition, </v>
      </c>
      <c r="AH357" s="17" t="str">
        <f t="shared" si="307"/>
        <v>Arching</v>
      </c>
      <c r="AI357" s="17" t="str">
        <f t="shared" si="16"/>
        <v>Arching</v>
      </c>
      <c r="AJ357" s="17" t="str">
        <f t="shared" si="235"/>
        <v>Thermal Decomposition,corona </v>
      </c>
    </row>
    <row r="358" ht="12.75" customHeight="1">
      <c r="A358" s="11">
        <v>356.0</v>
      </c>
      <c r="B358" s="17" t="s">
        <v>159</v>
      </c>
      <c r="C358" s="17" t="s">
        <v>147</v>
      </c>
      <c r="D358" s="14" t="s">
        <v>357</v>
      </c>
      <c r="E358" s="17" t="s">
        <v>358</v>
      </c>
      <c r="F358" s="17">
        <v>2012.0</v>
      </c>
      <c r="G358" s="14">
        <v>8.8</v>
      </c>
      <c r="H358" s="16">
        <v>1.0</v>
      </c>
      <c r="I358" s="15">
        <v>18460.112</v>
      </c>
      <c r="J358" s="15">
        <v>67597.024</v>
      </c>
      <c r="K358" s="15">
        <v>109.47200000000001</v>
      </c>
      <c r="L358" s="15">
        <v>1145.4080000000001</v>
      </c>
      <c r="M358" s="16">
        <v>2.024</v>
      </c>
      <c r="N358" s="16">
        <v>8.0</v>
      </c>
      <c r="O358" s="16">
        <v>9.0</v>
      </c>
      <c r="P358" s="15">
        <v>7.0</v>
      </c>
      <c r="Q358" s="17" t="str">
        <f t="shared" si="1"/>
        <v>0.7777777778</v>
      </c>
      <c r="R358" s="17" t="str">
        <f t="shared" si="2"/>
        <v>2.024</v>
      </c>
      <c r="S358" s="17" t="str">
        <f t="shared" si="8"/>
        <v>1.125</v>
      </c>
      <c r="T358" s="17" t="str">
        <f>IF(Q358&lt;1,"Partial discharge,Low Temprature thermal fault,")</f>
        <v>Partial discharge,Low Temprature thermal fault,</v>
      </c>
      <c r="U358" s="17" t="str">
        <f t="shared" si="310"/>
        <v>Thermal Fault &lt;700c, thermal fault &gt;700c </v>
      </c>
      <c r="V358" s="17" t="s">
        <v>37</v>
      </c>
      <c r="W358" s="17" t="str">
        <f t="shared" si="3"/>
        <v>0.7777777778</v>
      </c>
      <c r="X358" s="17" t="str">
        <f t="shared" si="33"/>
        <v>2.024</v>
      </c>
      <c r="Y358" s="17" t="str">
        <f t="shared" si="9"/>
        <v>1.125</v>
      </c>
      <c r="Z358" s="17" t="s">
        <v>34</v>
      </c>
      <c r="AA358" s="17" t="str">
        <f t="shared" si="311"/>
        <v>Thermal  Fault &gt;300c and&lt;700 and &gt;700 c</v>
      </c>
      <c r="AB358" s="17" t="str">
        <f>IF(Y358&lt;0.2,"Partial Discharges, ",IF(Y358&gt;1,"Thermal  Fault  &gt;700 c"))</f>
        <v>Thermal  Fault  &gt;700 c</v>
      </c>
      <c r="AC358" s="17" t="str">
        <f t="shared" si="5"/>
        <v>2.024</v>
      </c>
      <c r="AD358" s="18" t="str">
        <f t="shared" si="10"/>
        <v>0.7777777778</v>
      </c>
      <c r="AE358" s="17" t="str">
        <f t="shared" si="6"/>
        <v>3.458498024</v>
      </c>
      <c r="AF358" s="17" t="str">
        <f t="shared" si="11"/>
        <v>1.142857143</v>
      </c>
      <c r="AG358" s="17" t="str">
        <f t="shared" si="312"/>
        <v>Thermal Decomposition, </v>
      </c>
      <c r="AH358" s="17" t="str">
        <f t="shared" si="307"/>
        <v>Arching</v>
      </c>
      <c r="AI358" s="17" t="str">
        <f t="shared" si="16"/>
        <v>Arching</v>
      </c>
      <c r="AJ358" s="17" t="str">
        <f t="shared" si="235"/>
        <v>Thermal Decomposition,corona </v>
      </c>
    </row>
    <row r="359" ht="12.75" customHeight="1">
      <c r="A359" s="11">
        <v>357.0</v>
      </c>
      <c r="B359" s="17" t="s">
        <v>160</v>
      </c>
      <c r="C359" s="17" t="s">
        <v>147</v>
      </c>
      <c r="D359" s="14" t="s">
        <v>357</v>
      </c>
      <c r="E359" s="17" t="s">
        <v>358</v>
      </c>
      <c r="F359" s="17">
        <v>2012.0</v>
      </c>
      <c r="G359" s="14">
        <v>8.2</v>
      </c>
      <c r="H359" s="16">
        <v>2.4599999999999995</v>
      </c>
      <c r="I359" s="15">
        <v>16081.676</v>
      </c>
      <c r="J359" s="15">
        <v>63653.89399999999</v>
      </c>
      <c r="K359" s="15">
        <v>96.43199999999999</v>
      </c>
      <c r="L359" s="15">
        <v>1227.4579999999999</v>
      </c>
      <c r="M359" s="16">
        <v>8.0</v>
      </c>
      <c r="N359" s="16">
        <v>9.0</v>
      </c>
      <c r="O359" s="16">
        <v>3.772</v>
      </c>
      <c r="P359" s="17">
        <v>5.0</v>
      </c>
      <c r="Q359" s="17" t="str">
        <f t="shared" si="1"/>
        <v>1.325556734</v>
      </c>
      <c r="R359" s="17" t="str">
        <f t="shared" si="2"/>
        <v>3.25203252</v>
      </c>
      <c r="S359" s="17" t="str">
        <f t="shared" si="8"/>
        <v>0.4191111111</v>
      </c>
      <c r="T359" s="17" t="s">
        <v>30</v>
      </c>
      <c r="U359" s="17" t="str">
        <f t="shared" si="310"/>
        <v>Thermal Fault &lt;700c, thermal fault &gt;700c </v>
      </c>
      <c r="V359" s="17" t="str">
        <f t="shared" ref="V359:V362" si="315">IF(S359&lt;1,"Partial discharge, Normal ",IF(S359&gt;3,"Arching,Thermal  Fault &gt; 700 c"))</f>
        <v>Partial discharge, Normal </v>
      </c>
      <c r="W359" s="17" t="str">
        <f t="shared" si="3"/>
        <v>1.325556734</v>
      </c>
      <c r="X359" s="17" t="str">
        <f t="shared" si="33"/>
        <v>3.25203252</v>
      </c>
      <c r="Y359" s="17" t="str">
        <f t="shared" si="9"/>
        <v>0.4191111111</v>
      </c>
      <c r="Z359" s="17" t="str">
        <f t="shared" ref="Z359:Z360" si="316">IF(W359&gt;1,"Discharge of Low Energy,  ",IF(W359&lt;0.1,"Thermal  Fault&gt; 300c and&lt;700 c"))</f>
        <v>Discharge of Low Energy,  </v>
      </c>
      <c r="AA359" s="17" t="str">
        <f t="shared" si="311"/>
        <v>Thermal  Fault &gt;300c and&lt;700 and &gt;700 c</v>
      </c>
      <c r="AB359" s="17" t="s">
        <v>107</v>
      </c>
      <c r="AC359" s="17" t="str">
        <f t="shared" si="5"/>
        <v>3.25203252</v>
      </c>
      <c r="AD359" s="18" t="str">
        <f t="shared" si="10"/>
        <v>1.325556734</v>
      </c>
      <c r="AE359" s="17" t="str">
        <f t="shared" si="6"/>
        <v>0.625</v>
      </c>
      <c r="AF359" s="17" t="str">
        <f t="shared" si="11"/>
        <v>1.8</v>
      </c>
      <c r="AG359" s="17" t="str">
        <f t="shared" si="312"/>
        <v>Thermal Decomposition, </v>
      </c>
      <c r="AH359" s="17" t="str">
        <f t="shared" si="307"/>
        <v>Arching</v>
      </c>
      <c r="AI359" s="17" t="str">
        <f t="shared" si="16"/>
        <v>Arching</v>
      </c>
      <c r="AJ359" s="17" t="str">
        <f t="shared" si="235"/>
        <v>Thermal Decomposition,corona </v>
      </c>
    </row>
    <row r="360" ht="12.75" customHeight="1">
      <c r="A360" s="11">
        <v>358.0</v>
      </c>
      <c r="B360" s="21">
        <v>2029844.0</v>
      </c>
      <c r="C360" s="21" t="s">
        <v>27</v>
      </c>
      <c r="D360" s="21" t="s">
        <v>362</v>
      </c>
      <c r="E360" s="21" t="s">
        <v>91</v>
      </c>
      <c r="F360" s="21">
        <v>2011.0</v>
      </c>
      <c r="G360" s="17">
        <v>7.9</v>
      </c>
      <c r="H360" s="16">
        <v>0.9479999999999998</v>
      </c>
      <c r="I360" s="16">
        <v>14545.796000000002</v>
      </c>
      <c r="J360" s="16">
        <v>62367.024000000005</v>
      </c>
      <c r="K360" s="16">
        <v>112.259</v>
      </c>
      <c r="L360" s="16">
        <v>1097.231</v>
      </c>
      <c r="M360" s="16">
        <v>1.8170000000000002</v>
      </c>
      <c r="N360" s="16">
        <v>9.0</v>
      </c>
      <c r="O360" s="16">
        <v>8.0</v>
      </c>
      <c r="P360" s="16">
        <v>9.0</v>
      </c>
      <c r="Q360" s="17" t="str">
        <f t="shared" si="1"/>
        <v>1.125</v>
      </c>
      <c r="R360" s="17" t="str">
        <f t="shared" si="2"/>
        <v>1.916666667</v>
      </c>
      <c r="S360" s="17" t="str">
        <f t="shared" si="8"/>
        <v>0.8888888889</v>
      </c>
      <c r="T360" s="17" t="s">
        <v>30</v>
      </c>
      <c r="U360" s="17" t="str">
        <f t="shared" si="310"/>
        <v>Thermal Fault &lt;700c, thermal fault &gt;700c </v>
      </c>
      <c r="V360" s="17" t="str">
        <f t="shared" si="315"/>
        <v>Partial discharge, Normal </v>
      </c>
      <c r="W360" s="17" t="str">
        <f t="shared" si="3"/>
        <v>1.125</v>
      </c>
      <c r="X360" s="17" t="str">
        <f t="shared" si="33"/>
        <v>1.916666667</v>
      </c>
      <c r="Y360" s="17" t="str">
        <f t="shared" si="9"/>
        <v>0.8888888889</v>
      </c>
      <c r="Z360" s="17" t="str">
        <f t="shared" si="316"/>
        <v>Discharge of Low Energy,  </v>
      </c>
      <c r="AA360" s="17" t="str">
        <f t="shared" si="311"/>
        <v>Thermal  Fault &gt;300c and&lt;700 and &gt;700 c</v>
      </c>
      <c r="AB360" s="17" t="s">
        <v>107</v>
      </c>
      <c r="AC360" s="17" t="str">
        <f t="shared" si="5"/>
        <v>1.916666667</v>
      </c>
      <c r="AD360" s="18" t="str">
        <f t="shared" si="10"/>
        <v>1.125</v>
      </c>
      <c r="AE360" s="17" t="str">
        <f t="shared" si="6"/>
        <v>4.953219593</v>
      </c>
      <c r="AF360" s="17" t="str">
        <f t="shared" si="11"/>
        <v>1</v>
      </c>
      <c r="AG360" s="17" t="str">
        <f t="shared" si="312"/>
        <v>Thermal Decomposition, </v>
      </c>
      <c r="AH360" s="17" t="str">
        <f t="shared" si="307"/>
        <v>Arching</v>
      </c>
      <c r="AI360" s="17" t="str">
        <f t="shared" si="16"/>
        <v>Arching</v>
      </c>
      <c r="AJ360" s="17" t="str">
        <f t="shared" si="235"/>
        <v>Thermal Decomposition,corona </v>
      </c>
    </row>
    <row r="361" ht="12.75" customHeight="1">
      <c r="A361" s="11">
        <v>359.0</v>
      </c>
      <c r="B361" s="21">
        <v>2029844.0</v>
      </c>
      <c r="C361" s="21" t="s">
        <v>27</v>
      </c>
      <c r="D361" s="21" t="s">
        <v>362</v>
      </c>
      <c r="E361" s="21" t="s">
        <v>91</v>
      </c>
      <c r="F361" s="21">
        <v>2011.0</v>
      </c>
      <c r="G361" s="17">
        <v>8.1</v>
      </c>
      <c r="H361" s="16">
        <v>0.972</v>
      </c>
      <c r="I361" s="16">
        <v>14672.502</v>
      </c>
      <c r="J361" s="16">
        <v>64094.409</v>
      </c>
      <c r="K361" s="16">
        <v>118.66499999999999</v>
      </c>
      <c r="L361" s="16">
        <v>1143.072</v>
      </c>
      <c r="M361" s="16">
        <v>1.8629999999999998</v>
      </c>
      <c r="N361" s="16">
        <v>8.0</v>
      </c>
      <c r="O361" s="16">
        <v>7.0</v>
      </c>
      <c r="P361" s="16">
        <v>5.0</v>
      </c>
      <c r="Q361" s="17" t="str">
        <f t="shared" si="1"/>
        <v>0.7142857143</v>
      </c>
      <c r="R361" s="17" t="str">
        <f t="shared" si="2"/>
        <v>1.916666667</v>
      </c>
      <c r="S361" s="17" t="str">
        <f t="shared" si="8"/>
        <v>0.875</v>
      </c>
      <c r="T361" s="17" t="str">
        <f>IF(Q361&lt;1,"Partial discharge,Low Temprature thermal fault,")</f>
        <v>Partial discharge,Low Temprature thermal fault,</v>
      </c>
      <c r="U361" s="17" t="str">
        <f t="shared" si="310"/>
        <v>Thermal Fault &lt;700c, thermal fault &gt;700c </v>
      </c>
      <c r="V361" s="17" t="str">
        <f t="shared" si="315"/>
        <v>Partial discharge, Normal </v>
      </c>
      <c r="W361" s="17" t="str">
        <f t="shared" si="3"/>
        <v>0.7142857143</v>
      </c>
      <c r="X361" s="17" t="str">
        <f t="shared" si="33"/>
        <v>1.916666667</v>
      </c>
      <c r="Y361" s="17" t="str">
        <f t="shared" si="9"/>
        <v>0.875</v>
      </c>
      <c r="Z361" s="17" t="s">
        <v>34</v>
      </c>
      <c r="AA361" s="17" t="str">
        <f t="shared" si="311"/>
        <v>Thermal  Fault &gt;300c and&lt;700 and &gt;700 c</v>
      </c>
      <c r="AB361" s="17" t="s">
        <v>107</v>
      </c>
      <c r="AC361" s="17" t="str">
        <f t="shared" si="5"/>
        <v>1.916666667</v>
      </c>
      <c r="AD361" s="18" t="str">
        <f t="shared" si="10"/>
        <v>0.7142857143</v>
      </c>
      <c r="AE361" s="17" t="str">
        <f t="shared" si="6"/>
        <v>2.683843264</v>
      </c>
      <c r="AF361" s="17" t="str">
        <f t="shared" si="11"/>
        <v>1.6</v>
      </c>
      <c r="AG361" s="17" t="str">
        <f t="shared" si="312"/>
        <v>Thermal Decomposition, </v>
      </c>
      <c r="AH361" s="17" t="str">
        <f t="shared" si="307"/>
        <v>Thermal Decomposition, </v>
      </c>
      <c r="AI361" s="17" t="str">
        <f t="shared" si="16"/>
        <v>Arching</v>
      </c>
      <c r="AJ361" s="17" t="str">
        <f t="shared" si="235"/>
        <v>Thermal Decomposition,corona </v>
      </c>
    </row>
    <row r="362" ht="12.75" customHeight="1">
      <c r="A362" s="11">
        <v>360.0</v>
      </c>
      <c r="B362" s="21">
        <v>2029844.0</v>
      </c>
      <c r="C362" s="21" t="s">
        <v>27</v>
      </c>
      <c r="D362" s="21" t="s">
        <v>362</v>
      </c>
      <c r="E362" s="21" t="s">
        <v>91</v>
      </c>
      <c r="F362" s="21">
        <v>2011.0</v>
      </c>
      <c r="G362" s="17">
        <v>7.5</v>
      </c>
      <c r="H362" s="16">
        <v>2.7</v>
      </c>
      <c r="I362" s="16">
        <v>16332.974999999999</v>
      </c>
      <c r="J362" s="16">
        <v>57423.075</v>
      </c>
      <c r="K362" s="16">
        <v>52.949999999999996</v>
      </c>
      <c r="L362" s="16">
        <v>608.4000000000001</v>
      </c>
      <c r="M362" s="16">
        <v>5.0</v>
      </c>
      <c r="N362" s="16">
        <v>9.0</v>
      </c>
      <c r="O362" s="16">
        <v>7.0</v>
      </c>
      <c r="P362" s="16">
        <v>8.0</v>
      </c>
      <c r="Q362" s="17" t="str">
        <f t="shared" si="1"/>
        <v>1.142857143</v>
      </c>
      <c r="R362" s="17" t="str">
        <f t="shared" si="2"/>
        <v>1.851851852</v>
      </c>
      <c r="S362" s="17" t="str">
        <f t="shared" si="8"/>
        <v>0.7777777778</v>
      </c>
      <c r="T362" s="17" t="s">
        <v>30</v>
      </c>
      <c r="U362" s="17" t="str">
        <f t="shared" ref="U362:U369" si="317">IF(R362&lt;0.1, "Partial discharge", "Low temperature thermal ")</f>
        <v>Low temperature thermal </v>
      </c>
      <c r="V362" s="17" t="str">
        <f t="shared" si="315"/>
        <v>Partial discharge, Normal </v>
      </c>
      <c r="W362" s="17" t="str">
        <f t="shared" si="3"/>
        <v>1.142857143</v>
      </c>
      <c r="X362" s="17" t="str">
        <f t="shared" si="33"/>
        <v>1.851851852</v>
      </c>
      <c r="Y362" s="17" t="str">
        <f t="shared" si="9"/>
        <v>0.7777777778</v>
      </c>
      <c r="Z362" s="17" t="str">
        <f>IF(W362&gt;1,"Discharge of Low Energy,  ",IF(W362&lt;0.1,"Thermal  Fault&gt; 300c and&lt;700 c"))</f>
        <v>Discharge of Low Energy,  </v>
      </c>
      <c r="AA362" s="17" t="str">
        <f t="shared" si="311"/>
        <v>Thermal  Fault &gt;300c and&lt;700 and &gt;700 c</v>
      </c>
      <c r="AB362" s="17" t="s">
        <v>107</v>
      </c>
      <c r="AC362" s="17" t="str">
        <f t="shared" si="5"/>
        <v>1.851851852</v>
      </c>
      <c r="AD362" s="18" t="str">
        <f t="shared" si="10"/>
        <v>1.142857143</v>
      </c>
      <c r="AE362" s="17" t="str">
        <f t="shared" si="6"/>
        <v>1.6</v>
      </c>
      <c r="AF362" s="17" t="str">
        <f t="shared" si="11"/>
        <v>1.125</v>
      </c>
      <c r="AG362" s="17" t="str">
        <f t="shared" si="312"/>
        <v>Thermal Decomposition, </v>
      </c>
      <c r="AH362" s="17" t="str">
        <f t="shared" si="307"/>
        <v>Arching</v>
      </c>
      <c r="AI362" s="17" t="str">
        <f t="shared" si="16"/>
        <v>Arching</v>
      </c>
      <c r="AJ362" s="17" t="str">
        <f t="shared" si="235"/>
        <v>Thermal Decomposition,corona </v>
      </c>
    </row>
    <row r="363" ht="12.75" customHeight="1">
      <c r="A363" s="11">
        <v>361.0</v>
      </c>
      <c r="B363" s="21">
        <v>2029845.0</v>
      </c>
      <c r="C363" s="21" t="s">
        <v>27</v>
      </c>
      <c r="D363" s="21" t="s">
        <v>363</v>
      </c>
      <c r="E363" s="21" t="s">
        <v>91</v>
      </c>
      <c r="F363" s="21">
        <v>2011.0</v>
      </c>
      <c r="G363" s="17">
        <v>7.9</v>
      </c>
      <c r="H363" s="16">
        <v>0.9479999999999998</v>
      </c>
      <c r="I363" s="16">
        <v>14000.538</v>
      </c>
      <c r="J363" s="16">
        <v>63015.061</v>
      </c>
      <c r="K363" s="16">
        <v>130.982</v>
      </c>
      <c r="L363" s="16">
        <v>1360.617</v>
      </c>
      <c r="M363" s="16">
        <v>7.0</v>
      </c>
      <c r="N363" s="16">
        <v>6.0</v>
      </c>
      <c r="O363" s="16">
        <v>6.0</v>
      </c>
      <c r="P363" s="16">
        <v>4.0</v>
      </c>
      <c r="Q363" s="17" t="str">
        <f t="shared" si="1"/>
        <v>0.6666666667</v>
      </c>
      <c r="R363" s="17" t="str">
        <f t="shared" si="2"/>
        <v>7.383966245</v>
      </c>
      <c r="S363" s="17" t="str">
        <f t="shared" si="8"/>
        <v>1</v>
      </c>
      <c r="T363" s="17" t="str">
        <f>IF(Q363&lt;1,"Partial discharge,Low Temprature thermal fault,")</f>
        <v>Partial discharge,Low Temprature thermal fault,</v>
      </c>
      <c r="U363" s="17" t="str">
        <f t="shared" si="317"/>
        <v>Low temperature thermal </v>
      </c>
      <c r="V363" s="17" t="s">
        <v>37</v>
      </c>
      <c r="W363" s="17" t="str">
        <f t="shared" si="3"/>
        <v>0.6666666667</v>
      </c>
      <c r="X363" s="17" t="str">
        <f t="shared" si="33"/>
        <v>7.383966245</v>
      </c>
      <c r="Y363" s="17" t="str">
        <f t="shared" si="9"/>
        <v>1</v>
      </c>
      <c r="Z363" s="17" t="s">
        <v>34</v>
      </c>
      <c r="AA363" s="17" t="str">
        <f t="shared" si="311"/>
        <v>Thermal  Fault &gt;300c and&lt;700 and &gt;700 c</v>
      </c>
      <c r="AB363" s="17" t="s">
        <v>107</v>
      </c>
      <c r="AC363" s="17" t="str">
        <f t="shared" si="5"/>
        <v>7.383966245</v>
      </c>
      <c r="AD363" s="18" t="str">
        <f t="shared" si="10"/>
        <v>0.6666666667</v>
      </c>
      <c r="AE363" s="17" t="str">
        <f t="shared" si="6"/>
        <v>0.5714285714</v>
      </c>
      <c r="AF363" s="17" t="str">
        <f t="shared" si="11"/>
        <v>1.5</v>
      </c>
      <c r="AG363" s="17" t="str">
        <f t="shared" si="312"/>
        <v>Thermal Decomposition, </v>
      </c>
      <c r="AH363" s="17" t="str">
        <f t="shared" si="307"/>
        <v>Thermal Decomposition, </v>
      </c>
      <c r="AI363" s="17" t="str">
        <f t="shared" si="16"/>
        <v>Arching</v>
      </c>
      <c r="AJ363" s="17" t="str">
        <f t="shared" si="235"/>
        <v>Thermal Decomposition,corona </v>
      </c>
    </row>
    <row r="364" ht="12.75" customHeight="1">
      <c r="A364" s="11">
        <v>362.0</v>
      </c>
      <c r="B364" s="21">
        <v>2029845.0</v>
      </c>
      <c r="C364" s="21" t="s">
        <v>27</v>
      </c>
      <c r="D364" s="21" t="s">
        <v>363</v>
      </c>
      <c r="E364" s="21" t="s">
        <v>91</v>
      </c>
      <c r="F364" s="21">
        <v>2011.0</v>
      </c>
      <c r="G364" s="17">
        <v>8.0</v>
      </c>
      <c r="H364" s="16">
        <v>1.8399999999999999</v>
      </c>
      <c r="I364" s="16">
        <v>14659.52</v>
      </c>
      <c r="J364" s="16">
        <v>63312.64</v>
      </c>
      <c r="K364" s="16">
        <v>136.16</v>
      </c>
      <c r="L364" s="16">
        <v>1383.1200000000001</v>
      </c>
      <c r="M364" s="16">
        <v>6.0</v>
      </c>
      <c r="N364" s="16">
        <v>9.0</v>
      </c>
      <c r="O364" s="16">
        <v>5.0</v>
      </c>
      <c r="P364" s="16">
        <v>7.0</v>
      </c>
      <c r="Q364" s="17" t="str">
        <f t="shared" si="1"/>
        <v>1.4</v>
      </c>
      <c r="R364" s="17" t="str">
        <f t="shared" si="2"/>
        <v>3.260869565</v>
      </c>
      <c r="S364" s="17" t="str">
        <f t="shared" si="8"/>
        <v>0.5555555556</v>
      </c>
      <c r="T364" s="17" t="s">
        <v>30</v>
      </c>
      <c r="U364" s="17" t="str">
        <f t="shared" si="317"/>
        <v>Low temperature thermal </v>
      </c>
      <c r="V364" s="17" t="str">
        <f>IF(S364&lt;1,"Partial discharge, Normal ",IF(S364&gt;3,"Arching,Thermal  Fault &gt; 700 c"))</f>
        <v>Partial discharge, Normal </v>
      </c>
      <c r="W364" s="17" t="str">
        <f t="shared" si="3"/>
        <v>1.4</v>
      </c>
      <c r="X364" s="17" t="str">
        <f t="shared" si="33"/>
        <v>3.260869565</v>
      </c>
      <c r="Y364" s="17" t="str">
        <f t="shared" si="9"/>
        <v>0.5555555556</v>
      </c>
      <c r="Z364" s="17" t="str">
        <f>IF(W364&gt;1,"Discharge of Low Energy,  ",IF(W364&lt;0.1,"Thermal  Fault&gt; 300c and&lt;700 c"))</f>
        <v>Discharge of Low Energy,  </v>
      </c>
      <c r="AA364" s="17" t="str">
        <f t="shared" si="311"/>
        <v>Thermal  Fault &gt;300c and&lt;700 and &gt;700 c</v>
      </c>
      <c r="AB364" s="17" t="s">
        <v>107</v>
      </c>
      <c r="AC364" s="17" t="str">
        <f t="shared" si="5"/>
        <v>3.260869565</v>
      </c>
      <c r="AD364" s="18" t="str">
        <f t="shared" si="10"/>
        <v>1.4</v>
      </c>
      <c r="AE364" s="17" t="str">
        <f t="shared" si="6"/>
        <v>1.166666667</v>
      </c>
      <c r="AF364" s="17" t="str">
        <f t="shared" si="11"/>
        <v>1.285714286</v>
      </c>
      <c r="AG364" s="17" t="str">
        <f t="shared" si="312"/>
        <v>Thermal Decomposition, </v>
      </c>
      <c r="AH364" s="17" t="str">
        <f t="shared" si="307"/>
        <v>Arching</v>
      </c>
      <c r="AI364" s="17" t="str">
        <f t="shared" si="16"/>
        <v>Arching</v>
      </c>
      <c r="AJ364" s="17" t="str">
        <f t="shared" si="235"/>
        <v>Thermal Decomposition,corona </v>
      </c>
    </row>
    <row r="365" ht="12.75" customHeight="1">
      <c r="A365" s="11">
        <v>363.0</v>
      </c>
      <c r="B365" s="21">
        <v>2029845.0</v>
      </c>
      <c r="C365" s="21" t="s">
        <v>27</v>
      </c>
      <c r="D365" s="21" t="s">
        <v>363</v>
      </c>
      <c r="E365" s="21" t="s">
        <v>91</v>
      </c>
      <c r="F365" s="21">
        <v>2011.0</v>
      </c>
      <c r="G365" s="17">
        <v>8.2</v>
      </c>
      <c r="H365" s="16">
        <v>1.886</v>
      </c>
      <c r="I365" s="16">
        <v>15649.699999999999</v>
      </c>
      <c r="J365" s="16">
        <v>63916.37599999999</v>
      </c>
      <c r="K365" s="16">
        <v>116.52199999999999</v>
      </c>
      <c r="L365" s="16">
        <v>1248.1219999999998</v>
      </c>
      <c r="M365" s="16">
        <v>9.0</v>
      </c>
      <c r="N365" s="16">
        <v>6.0</v>
      </c>
      <c r="O365" s="16">
        <v>9.0</v>
      </c>
      <c r="P365" s="16">
        <v>3.0</v>
      </c>
      <c r="Q365" s="17" t="str">
        <f t="shared" si="1"/>
        <v>0.3333333333</v>
      </c>
      <c r="R365" s="17" t="str">
        <f t="shared" si="2"/>
        <v>4.772004242</v>
      </c>
      <c r="S365" s="17" t="str">
        <f t="shared" si="8"/>
        <v>1.5</v>
      </c>
      <c r="T365" s="17" t="str">
        <f>IF(Q365&lt;1,"Partial discharge,Low Temprature thermal fault,")</f>
        <v>Partial discharge,Low Temprature thermal fault,</v>
      </c>
      <c r="U365" s="17" t="str">
        <f t="shared" si="317"/>
        <v>Low temperature thermal </v>
      </c>
      <c r="V365" s="17" t="s">
        <v>37</v>
      </c>
      <c r="W365" s="17" t="str">
        <f t="shared" si="3"/>
        <v>0.3333333333</v>
      </c>
      <c r="X365" s="17" t="str">
        <f t="shared" si="33"/>
        <v>4.772004242</v>
      </c>
      <c r="Y365" s="17" t="str">
        <f t="shared" si="9"/>
        <v>1.5</v>
      </c>
      <c r="Z365" s="17" t="s">
        <v>34</v>
      </c>
      <c r="AA365" s="17" t="str">
        <f t="shared" si="311"/>
        <v>Thermal  Fault &gt;300c and&lt;700 and &gt;700 c</v>
      </c>
      <c r="AB365" s="17" t="str">
        <f t="shared" ref="AB365:AB366" si="318">IF(Y365&lt;0.2,"Partial Discharges, ",IF(Y365&gt;1,"Thermal  Fault  &gt;700 c"))</f>
        <v>Thermal  Fault  &gt;700 c</v>
      </c>
      <c r="AC365" s="17" t="str">
        <f t="shared" si="5"/>
        <v>4.772004242</v>
      </c>
      <c r="AD365" s="18" t="str">
        <f t="shared" si="10"/>
        <v>0.3333333333</v>
      </c>
      <c r="AE365" s="17" t="str">
        <f t="shared" si="6"/>
        <v>0.3333333333</v>
      </c>
      <c r="AF365" s="17" t="str">
        <f t="shared" si="11"/>
        <v>2</v>
      </c>
      <c r="AG365" s="17" t="str">
        <f t="shared" si="312"/>
        <v>Thermal Decomposition, </v>
      </c>
      <c r="AH365" s="17" t="str">
        <f t="shared" si="307"/>
        <v>Thermal Decomposition, </v>
      </c>
      <c r="AI365" s="17" t="str">
        <f t="shared" si="16"/>
        <v>Arching</v>
      </c>
      <c r="AJ365" s="17" t="str">
        <f t="shared" si="235"/>
        <v>Thermal Decomposition,corona </v>
      </c>
    </row>
    <row r="366" ht="12.75" customHeight="1">
      <c r="A366" s="11">
        <v>364.0</v>
      </c>
      <c r="B366" s="21">
        <v>10276.0</v>
      </c>
      <c r="C366" s="21" t="s">
        <v>40</v>
      </c>
      <c r="D366" s="21" t="s">
        <v>249</v>
      </c>
      <c r="E366" s="28" t="s">
        <v>67</v>
      </c>
      <c r="F366" s="21">
        <v>2011.0</v>
      </c>
      <c r="G366" s="17">
        <v>7.6</v>
      </c>
      <c r="H366" s="16">
        <v>1.748</v>
      </c>
      <c r="I366" s="16">
        <v>14169.971999999998</v>
      </c>
      <c r="J366" s="16">
        <v>59456.776000000005</v>
      </c>
      <c r="K366" s="16">
        <v>107.236</v>
      </c>
      <c r="L366" s="16">
        <v>1413.2959999999998</v>
      </c>
      <c r="M366" s="16">
        <v>7.0</v>
      </c>
      <c r="N366" s="16">
        <v>5.0</v>
      </c>
      <c r="O366" s="16">
        <v>6.0</v>
      </c>
      <c r="P366" s="16">
        <v>9.0</v>
      </c>
      <c r="Q366" s="17" t="str">
        <f t="shared" si="1"/>
        <v>1.5</v>
      </c>
      <c r="R366" s="17" t="str">
        <f t="shared" si="2"/>
        <v>4.004576659</v>
      </c>
      <c r="S366" s="17" t="str">
        <f t="shared" si="8"/>
        <v>1.2</v>
      </c>
      <c r="T366" s="17" t="s">
        <v>30</v>
      </c>
      <c r="U366" s="17" t="str">
        <f t="shared" si="317"/>
        <v>Low temperature thermal </v>
      </c>
      <c r="V366" s="17" t="s">
        <v>37</v>
      </c>
      <c r="W366" s="17" t="str">
        <f t="shared" si="3"/>
        <v>1.5</v>
      </c>
      <c r="X366" s="17" t="str">
        <f t="shared" si="33"/>
        <v>4.004576659</v>
      </c>
      <c r="Y366" s="17" t="str">
        <f t="shared" si="9"/>
        <v>1.2</v>
      </c>
      <c r="Z366" s="17" t="str">
        <f>IF(W366&gt;1,"Discharge of Low Energy,  ",IF(W366&lt;0.1,"Thermal  Fault&gt; 300c and&lt;700 c"))</f>
        <v>Discharge of Low Energy,  </v>
      </c>
      <c r="AA366" s="17" t="str">
        <f t="shared" si="311"/>
        <v>Thermal  Fault &gt;300c and&lt;700 and &gt;700 c</v>
      </c>
      <c r="AB366" s="17" t="str">
        <f t="shared" si="318"/>
        <v>Thermal  Fault  &gt;700 c</v>
      </c>
      <c r="AC366" s="17" t="str">
        <f t="shared" si="5"/>
        <v>4.004576659</v>
      </c>
      <c r="AD366" s="18" t="str">
        <f t="shared" si="10"/>
        <v>1.5</v>
      </c>
      <c r="AE366" s="17" t="str">
        <f t="shared" si="6"/>
        <v>1.285714286</v>
      </c>
      <c r="AF366" s="17" t="str">
        <f t="shared" si="11"/>
        <v>0.5555555556</v>
      </c>
      <c r="AG366" s="17" t="str">
        <f t="shared" si="312"/>
        <v>Thermal Decomposition, </v>
      </c>
      <c r="AH366" s="17" t="str">
        <f t="shared" si="307"/>
        <v>Arching</v>
      </c>
      <c r="AI366" s="17" t="str">
        <f t="shared" si="16"/>
        <v>Arching</v>
      </c>
      <c r="AJ366" s="17" t="str">
        <f t="shared" si="235"/>
        <v>Thermal Decomposition,corona </v>
      </c>
    </row>
    <row r="367" ht="12.75" customHeight="1">
      <c r="A367" s="11">
        <v>365.0</v>
      </c>
      <c r="B367" s="21">
        <v>10276.0</v>
      </c>
      <c r="C367" s="21" t="s">
        <v>40</v>
      </c>
      <c r="D367" s="21" t="s">
        <v>249</v>
      </c>
      <c r="E367" s="28" t="s">
        <v>67</v>
      </c>
      <c r="F367" s="21">
        <v>2011.0</v>
      </c>
      <c r="G367" s="17">
        <v>7.4</v>
      </c>
      <c r="H367" s="16">
        <v>1.702</v>
      </c>
      <c r="I367" s="16">
        <v>13971.348</v>
      </c>
      <c r="J367" s="16">
        <v>57815.386</v>
      </c>
      <c r="K367" s="16">
        <v>101.01000000000002</v>
      </c>
      <c r="L367" s="16">
        <v>1369.74</v>
      </c>
      <c r="M367" s="16">
        <v>6.0</v>
      </c>
      <c r="N367" s="16">
        <v>9.0</v>
      </c>
      <c r="O367" s="16">
        <v>9.0</v>
      </c>
      <c r="P367" s="16">
        <v>3.0</v>
      </c>
      <c r="Q367" s="17" t="str">
        <f t="shared" si="1"/>
        <v>0.3333333333</v>
      </c>
      <c r="R367" s="17" t="str">
        <f t="shared" si="2"/>
        <v>3.525264395</v>
      </c>
      <c r="S367" s="17" t="str">
        <f t="shared" si="8"/>
        <v>1</v>
      </c>
      <c r="T367" s="17" t="str">
        <f>IF(Q367&lt;1,"Partial discharge,Low Temprature thermal fault,")</f>
        <v>Partial discharge,Low Temprature thermal fault,</v>
      </c>
      <c r="U367" s="17" t="str">
        <f t="shared" si="317"/>
        <v>Low temperature thermal </v>
      </c>
      <c r="V367" s="17" t="s">
        <v>37</v>
      </c>
      <c r="W367" s="17" t="str">
        <f t="shared" si="3"/>
        <v>0.3333333333</v>
      </c>
      <c r="X367" s="17" t="str">
        <f t="shared" si="33"/>
        <v>3.525264395</v>
      </c>
      <c r="Y367" s="17" t="str">
        <f t="shared" si="9"/>
        <v>1</v>
      </c>
      <c r="Z367" s="17" t="s">
        <v>34</v>
      </c>
      <c r="AA367" s="17" t="str">
        <f t="shared" si="311"/>
        <v>Thermal  Fault &gt;300c and&lt;700 and &gt;700 c</v>
      </c>
      <c r="AB367" s="17" t="s">
        <v>107</v>
      </c>
      <c r="AC367" s="17" t="str">
        <f t="shared" si="5"/>
        <v>3.525264395</v>
      </c>
      <c r="AD367" s="18" t="str">
        <f t="shared" si="10"/>
        <v>0.3333333333</v>
      </c>
      <c r="AE367" s="17" t="str">
        <f t="shared" si="6"/>
        <v>0.5</v>
      </c>
      <c r="AF367" s="17" t="str">
        <f t="shared" si="11"/>
        <v>3</v>
      </c>
      <c r="AG367" s="17" t="str">
        <f t="shared" si="312"/>
        <v>Thermal Decomposition, </v>
      </c>
      <c r="AH367" s="17" t="str">
        <f t="shared" si="307"/>
        <v>Thermal Decomposition, </v>
      </c>
      <c r="AI367" s="17" t="str">
        <f t="shared" si="16"/>
        <v>Arching</v>
      </c>
      <c r="AJ367" s="17" t="str">
        <f t="shared" si="235"/>
        <v>Thermal Decomposition,corona </v>
      </c>
    </row>
    <row r="368" ht="12.75" customHeight="1">
      <c r="A368" s="11">
        <v>366.0</v>
      </c>
      <c r="B368" s="21">
        <v>10276.0</v>
      </c>
      <c r="C368" s="21" t="s">
        <v>40</v>
      </c>
      <c r="D368" s="21" t="s">
        <v>249</v>
      </c>
      <c r="E368" s="28" t="s">
        <v>67</v>
      </c>
      <c r="F368" s="21">
        <v>2011.0</v>
      </c>
      <c r="G368" s="17">
        <v>6.5</v>
      </c>
      <c r="H368" s="16">
        <v>4.095</v>
      </c>
      <c r="I368" s="16">
        <v>12402.130000000001</v>
      </c>
      <c r="J368" s="16">
        <v>51433.785</v>
      </c>
      <c r="K368" s="16">
        <v>44.72</v>
      </c>
      <c r="L368" s="16">
        <v>469.49500000000006</v>
      </c>
      <c r="M368" s="16">
        <v>4.0</v>
      </c>
      <c r="N368" s="16">
        <v>5.0</v>
      </c>
      <c r="O368" s="16">
        <v>9.0</v>
      </c>
      <c r="P368" s="16">
        <v>9.0</v>
      </c>
      <c r="Q368" s="17" t="str">
        <f t="shared" si="1"/>
        <v>1</v>
      </c>
      <c r="R368" s="17" t="str">
        <f t="shared" si="2"/>
        <v>0.9768009768</v>
      </c>
      <c r="S368" s="17" t="str">
        <f t="shared" si="8"/>
        <v>1.8</v>
      </c>
      <c r="T368" s="17" t="s">
        <v>30</v>
      </c>
      <c r="U368" s="17" t="str">
        <f t="shared" si="317"/>
        <v>Low temperature thermal </v>
      </c>
      <c r="V368" s="17" t="s">
        <v>37</v>
      </c>
      <c r="W368" s="17" t="str">
        <f t="shared" si="3"/>
        <v>1</v>
      </c>
      <c r="X368" s="17" t="str">
        <f t="shared" si="33"/>
        <v>0.9768009768</v>
      </c>
      <c r="Y368" s="17" t="str">
        <f t="shared" si="9"/>
        <v>1.8</v>
      </c>
      <c r="Z368" s="17" t="s">
        <v>34</v>
      </c>
      <c r="AA368" s="17" t="s">
        <v>34</v>
      </c>
      <c r="AB368" s="17" t="str">
        <f>IF(Y368&lt;0.2,"Partial Discharges, ",IF(Y368&gt;1,"Thermal  Fault  &gt;700 c"))</f>
        <v>Thermal  Fault  &gt;700 c</v>
      </c>
      <c r="AC368" s="17" t="str">
        <f t="shared" si="5"/>
        <v>0.9768009768</v>
      </c>
      <c r="AD368" s="18" t="str">
        <f t="shared" si="10"/>
        <v>1</v>
      </c>
      <c r="AE368" s="17" t="str">
        <f t="shared" si="6"/>
        <v>2.25</v>
      </c>
      <c r="AF368" s="17" t="str">
        <f t="shared" si="11"/>
        <v>0.5555555556</v>
      </c>
      <c r="AG368" s="17" t="s">
        <v>30</v>
      </c>
      <c r="AH368" s="17" t="str">
        <f t="shared" si="307"/>
        <v>Arching</v>
      </c>
      <c r="AI368" s="17" t="str">
        <f t="shared" si="16"/>
        <v>Arching</v>
      </c>
      <c r="AJ368" s="17" t="str">
        <f t="shared" si="235"/>
        <v>Thermal Decomposition,corona </v>
      </c>
    </row>
    <row r="369" ht="12.75" customHeight="1">
      <c r="A369" s="11">
        <v>367.0</v>
      </c>
      <c r="B369" s="21">
        <v>6.83000445E8</v>
      </c>
      <c r="C369" s="21" t="s">
        <v>186</v>
      </c>
      <c r="D369" s="21" t="s">
        <v>364</v>
      </c>
      <c r="E369" s="21" t="s">
        <v>365</v>
      </c>
      <c r="F369" s="28" t="s">
        <v>67</v>
      </c>
      <c r="G369" s="17">
        <v>8.2</v>
      </c>
      <c r="H369" s="16">
        <v>5.1659999999999995</v>
      </c>
      <c r="I369" s="16">
        <v>16708.566</v>
      </c>
      <c r="J369" s="16">
        <v>62942.052</v>
      </c>
      <c r="K369" s="16">
        <v>131.446</v>
      </c>
      <c r="L369" s="16">
        <v>1471.572</v>
      </c>
      <c r="M369" s="16">
        <v>6.0</v>
      </c>
      <c r="N369" s="16">
        <v>8.0</v>
      </c>
      <c r="O369" s="16">
        <v>7.0</v>
      </c>
      <c r="P369" s="16">
        <v>4.0</v>
      </c>
      <c r="Q369" s="17" t="str">
        <f t="shared" si="1"/>
        <v>0.5714285714</v>
      </c>
      <c r="R369" s="17" t="str">
        <f t="shared" si="2"/>
        <v>1.161440186</v>
      </c>
      <c r="S369" s="17" t="str">
        <f t="shared" si="8"/>
        <v>0.875</v>
      </c>
      <c r="T369" s="17" t="str">
        <f>IF(Q369&lt;1,"Partial discharge,Low Temprature thermal fault,")</f>
        <v>Partial discharge,Low Temprature thermal fault,</v>
      </c>
      <c r="U369" s="17" t="str">
        <f t="shared" si="317"/>
        <v>Low temperature thermal </v>
      </c>
      <c r="V369" s="17" t="str">
        <f>IF(S369&lt;1,"Partial discharge, Normal ",IF(S369&gt;3,"Arching,Thermal  Fault &gt; 700 c"))</f>
        <v>Partial discharge, Normal </v>
      </c>
      <c r="W369" s="17" t="str">
        <f t="shared" si="3"/>
        <v>0.5714285714</v>
      </c>
      <c r="X369" s="17" t="str">
        <f t="shared" si="33"/>
        <v>1.161440186</v>
      </c>
      <c r="Y369" s="17" t="str">
        <f t="shared" si="9"/>
        <v>0.875</v>
      </c>
      <c r="Z369" s="17" t="s">
        <v>34</v>
      </c>
      <c r="AA369" s="17" t="str">
        <f t="shared" ref="AA369:AA375" si="319">IF(X369&lt;0.1,"Partial Discharges, ",IF(X369&gt;1,"Thermal  Fault &gt;300c and&lt;700 and &gt;700 c"))</f>
        <v>Thermal  Fault &gt;300c and&lt;700 and &gt;700 c</v>
      </c>
      <c r="AB369" s="17" t="s">
        <v>107</v>
      </c>
      <c r="AC369" s="17" t="str">
        <f t="shared" si="5"/>
        <v>1.161440186</v>
      </c>
      <c r="AD369" s="18" t="str">
        <f t="shared" si="10"/>
        <v>0.5714285714</v>
      </c>
      <c r="AE369" s="17" t="str">
        <f t="shared" si="6"/>
        <v>0.6666666667</v>
      </c>
      <c r="AF369" s="17" t="str">
        <f t="shared" si="11"/>
        <v>2</v>
      </c>
      <c r="AG369" s="17" t="str">
        <f t="shared" ref="AG369:AG375" si="320">IF(AC369&gt;1,"Thermal Decomposition, ",IF(AC369&lt;0.1,"Corona,Arching"))</f>
        <v>Thermal Decomposition, </v>
      </c>
      <c r="AH369" s="17" t="str">
        <f t="shared" si="307"/>
        <v>Thermal Decomposition, </v>
      </c>
      <c r="AI369" s="17" t="str">
        <f t="shared" si="16"/>
        <v>Arching</v>
      </c>
      <c r="AJ369" s="17" t="str">
        <f t="shared" si="235"/>
        <v>Thermal Decomposition,corona </v>
      </c>
    </row>
    <row r="370" ht="12.75" customHeight="1">
      <c r="A370" s="11">
        <v>368.0</v>
      </c>
      <c r="B370" s="21">
        <v>6.83000445E8</v>
      </c>
      <c r="C370" s="21" t="s">
        <v>186</v>
      </c>
      <c r="D370" s="21" t="s">
        <v>364</v>
      </c>
      <c r="E370" s="21" t="s">
        <v>365</v>
      </c>
      <c r="F370" s="21" t="s">
        <v>67</v>
      </c>
      <c r="G370" s="17">
        <v>8.0</v>
      </c>
      <c r="H370" s="16">
        <v>6.08</v>
      </c>
      <c r="I370" s="16">
        <v>13869.36</v>
      </c>
      <c r="J370" s="16">
        <v>64659.6</v>
      </c>
      <c r="K370" s="16">
        <v>75.44</v>
      </c>
      <c r="L370" s="16">
        <v>805.6800000000001</v>
      </c>
      <c r="M370" s="16">
        <v>44.800000000000004</v>
      </c>
      <c r="N370" s="16">
        <v>5.0</v>
      </c>
      <c r="O370" s="16">
        <v>5.0</v>
      </c>
      <c r="P370" s="16">
        <v>9.0</v>
      </c>
      <c r="Q370" s="17" t="str">
        <f t="shared" si="1"/>
        <v>1.8</v>
      </c>
      <c r="R370" s="17" t="str">
        <f t="shared" si="2"/>
        <v>7.368421053</v>
      </c>
      <c r="S370" s="17" t="str">
        <f t="shared" si="8"/>
        <v>1</v>
      </c>
      <c r="T370" s="17" t="s">
        <v>30</v>
      </c>
      <c r="U370" s="17" t="str">
        <f>IF(R370&gt;1,"Thermal Fault &lt;700c, thermal fault &gt;700c ")</f>
        <v>Thermal Fault &lt;700c, thermal fault &gt;700c </v>
      </c>
      <c r="V370" s="17" t="s">
        <v>37</v>
      </c>
      <c r="W370" s="17" t="str">
        <f t="shared" si="3"/>
        <v>1.8</v>
      </c>
      <c r="X370" s="17" t="str">
        <f t="shared" si="33"/>
        <v>7.368421053</v>
      </c>
      <c r="Y370" s="17" t="str">
        <f t="shared" si="9"/>
        <v>1</v>
      </c>
      <c r="Z370" s="17" t="str">
        <f t="shared" ref="Z370:Z371" si="321">IF(W370&gt;1,"Discharge of Low Energy,  ",IF(W370&lt;0.1,"Thermal  Fault&gt; 300c and&lt;700 c"))</f>
        <v>Discharge of Low Energy,  </v>
      </c>
      <c r="AA370" s="17" t="str">
        <f t="shared" si="319"/>
        <v>Thermal  Fault &gt;300c and&lt;700 and &gt;700 c</v>
      </c>
      <c r="AB370" s="17" t="s">
        <v>107</v>
      </c>
      <c r="AC370" s="17" t="str">
        <f t="shared" si="5"/>
        <v>7.368421053</v>
      </c>
      <c r="AD370" s="18" t="str">
        <f t="shared" si="10"/>
        <v>1.8</v>
      </c>
      <c r="AE370" s="17" t="str">
        <f t="shared" si="6"/>
        <v>0.2008928571</v>
      </c>
      <c r="AF370" s="17" t="str">
        <f t="shared" si="11"/>
        <v>0.5555555556</v>
      </c>
      <c r="AG370" s="17" t="str">
        <f t="shared" si="320"/>
        <v>Thermal Decomposition, </v>
      </c>
      <c r="AH370" s="17" t="str">
        <f t="shared" si="307"/>
        <v>Arching</v>
      </c>
      <c r="AI370" s="17" t="str">
        <f t="shared" si="16"/>
        <v>Thermal Decomposition,corona </v>
      </c>
      <c r="AJ370" s="17" t="str">
        <f t="shared" si="235"/>
        <v>Thermal Decomposition,corona </v>
      </c>
    </row>
    <row r="371" ht="12.75" customHeight="1">
      <c r="A371" s="11">
        <v>369.0</v>
      </c>
      <c r="B371" s="21">
        <v>6.83000445E8</v>
      </c>
      <c r="C371" s="21" t="s">
        <v>186</v>
      </c>
      <c r="D371" s="21" t="s">
        <v>364</v>
      </c>
      <c r="E371" s="21" t="s">
        <v>365</v>
      </c>
      <c r="F371" s="21" t="s">
        <v>67</v>
      </c>
      <c r="G371" s="17">
        <v>8.2</v>
      </c>
      <c r="H371" s="16">
        <v>6.395999999999999</v>
      </c>
      <c r="I371" s="16">
        <v>16251.579999999998</v>
      </c>
      <c r="J371" s="16">
        <v>63100.312</v>
      </c>
      <c r="K371" s="16">
        <v>131.28199999999998</v>
      </c>
      <c r="L371" s="16">
        <v>1434.59</v>
      </c>
      <c r="M371" s="16">
        <v>8.0</v>
      </c>
      <c r="N371" s="16">
        <v>8.0</v>
      </c>
      <c r="O371" s="16">
        <v>8.0</v>
      </c>
      <c r="P371" s="16">
        <v>9.0</v>
      </c>
      <c r="Q371" s="17" t="str">
        <f t="shared" si="1"/>
        <v>1.125</v>
      </c>
      <c r="R371" s="17" t="str">
        <f t="shared" si="2"/>
        <v>1.250781739</v>
      </c>
      <c r="S371" s="17" t="str">
        <f t="shared" si="8"/>
        <v>1</v>
      </c>
      <c r="T371" s="17" t="s">
        <v>30</v>
      </c>
      <c r="U371" s="17" t="str">
        <f t="shared" ref="U371:U373" si="322">IF(R371&lt;0.1, "Partial discharge", "Low temperature thermal ")</f>
        <v>Low temperature thermal </v>
      </c>
      <c r="V371" s="17" t="s">
        <v>37</v>
      </c>
      <c r="W371" s="17" t="str">
        <f t="shared" si="3"/>
        <v>1.125</v>
      </c>
      <c r="X371" s="17" t="str">
        <f t="shared" si="33"/>
        <v>1.250781739</v>
      </c>
      <c r="Y371" s="17" t="str">
        <f t="shared" si="9"/>
        <v>1</v>
      </c>
      <c r="Z371" s="17" t="str">
        <f t="shared" si="321"/>
        <v>Discharge of Low Energy,  </v>
      </c>
      <c r="AA371" s="17" t="str">
        <f t="shared" si="319"/>
        <v>Thermal  Fault &gt;300c and&lt;700 and &gt;700 c</v>
      </c>
      <c r="AB371" s="17" t="s">
        <v>107</v>
      </c>
      <c r="AC371" s="17" t="str">
        <f t="shared" si="5"/>
        <v>1.250781739</v>
      </c>
      <c r="AD371" s="18" t="str">
        <f t="shared" si="10"/>
        <v>1.125</v>
      </c>
      <c r="AE371" s="17" t="str">
        <f t="shared" si="6"/>
        <v>1.125</v>
      </c>
      <c r="AF371" s="17" t="str">
        <f t="shared" si="11"/>
        <v>0.8888888889</v>
      </c>
      <c r="AG371" s="17" t="str">
        <f t="shared" si="320"/>
        <v>Thermal Decomposition, </v>
      </c>
      <c r="AH371" s="17" t="str">
        <f t="shared" si="307"/>
        <v>Arching</v>
      </c>
      <c r="AI371" s="17" t="str">
        <f t="shared" si="16"/>
        <v>Arching</v>
      </c>
      <c r="AJ371" s="17" t="str">
        <f t="shared" si="235"/>
        <v>Thermal Decomposition,corona </v>
      </c>
    </row>
    <row r="372" ht="12.75" customHeight="1">
      <c r="A372" s="11">
        <v>370.0</v>
      </c>
      <c r="B372" s="21" t="s">
        <v>366</v>
      </c>
      <c r="C372" s="21" t="s">
        <v>224</v>
      </c>
      <c r="D372" s="21" t="s">
        <v>367</v>
      </c>
      <c r="E372" s="21" t="s">
        <v>93</v>
      </c>
      <c r="F372" s="21">
        <v>2011.0</v>
      </c>
      <c r="G372" s="17">
        <v>8.5</v>
      </c>
      <c r="H372" s="16">
        <v>1.6150000000000002</v>
      </c>
      <c r="I372" s="16">
        <v>16567.265</v>
      </c>
      <c r="J372" s="16">
        <v>65972.58</v>
      </c>
      <c r="K372" s="16">
        <v>124.18500000000002</v>
      </c>
      <c r="L372" s="16">
        <v>1414.825</v>
      </c>
      <c r="M372" s="16">
        <v>9.0</v>
      </c>
      <c r="N372" s="16">
        <v>6.0</v>
      </c>
      <c r="O372" s="16">
        <v>10.0</v>
      </c>
      <c r="P372" s="16">
        <v>9.0</v>
      </c>
      <c r="Q372" s="17" t="str">
        <f t="shared" si="1"/>
        <v>0.9</v>
      </c>
      <c r="R372" s="17" t="str">
        <f t="shared" si="2"/>
        <v>5.572755418</v>
      </c>
      <c r="S372" s="17" t="str">
        <f t="shared" si="8"/>
        <v>1.666666667</v>
      </c>
      <c r="T372" s="17" t="str">
        <f t="shared" ref="T372:T373" si="323">IF(Q372&lt;1,"Partial discharge,Low Temprature thermal fault,")</f>
        <v>Partial discharge,Low Temprature thermal fault,</v>
      </c>
      <c r="U372" s="17" t="str">
        <f t="shared" si="322"/>
        <v>Low temperature thermal </v>
      </c>
      <c r="V372" s="17" t="s">
        <v>37</v>
      </c>
      <c r="W372" s="17" t="str">
        <f t="shared" si="3"/>
        <v>0.9</v>
      </c>
      <c r="X372" s="17" t="str">
        <f t="shared" si="33"/>
        <v>5.572755418</v>
      </c>
      <c r="Y372" s="17" t="str">
        <f t="shared" si="9"/>
        <v>1.666666667</v>
      </c>
      <c r="Z372" s="17" t="s">
        <v>34</v>
      </c>
      <c r="AA372" s="17" t="str">
        <f t="shared" si="319"/>
        <v>Thermal  Fault &gt;300c and&lt;700 and &gt;700 c</v>
      </c>
      <c r="AB372" s="17" t="str">
        <f>IF(Y372&lt;0.2,"Partial Discharges, ",IF(Y372&gt;1,"Thermal  Fault  &gt;700 c"))</f>
        <v>Thermal  Fault  &gt;700 c</v>
      </c>
      <c r="AC372" s="17" t="str">
        <f t="shared" si="5"/>
        <v>5.572755418</v>
      </c>
      <c r="AD372" s="18" t="str">
        <f t="shared" si="10"/>
        <v>0.9</v>
      </c>
      <c r="AE372" s="17" t="str">
        <f t="shared" si="6"/>
        <v>1</v>
      </c>
      <c r="AF372" s="17" t="str">
        <f t="shared" si="11"/>
        <v>0.6666666667</v>
      </c>
      <c r="AG372" s="17" t="str">
        <f t="shared" si="320"/>
        <v>Thermal Decomposition, </v>
      </c>
      <c r="AH372" s="17" t="str">
        <f t="shared" si="307"/>
        <v>Arching</v>
      </c>
      <c r="AI372" s="17" t="str">
        <f t="shared" si="16"/>
        <v>Arching</v>
      </c>
      <c r="AJ372" s="17" t="str">
        <f t="shared" si="235"/>
        <v>Thermal Decomposition,corona </v>
      </c>
    </row>
    <row r="373" ht="12.75" customHeight="1">
      <c r="A373" s="11">
        <v>371.0</v>
      </c>
      <c r="B373" s="21" t="s">
        <v>366</v>
      </c>
      <c r="C373" s="21" t="s">
        <v>224</v>
      </c>
      <c r="D373" s="21" t="s">
        <v>367</v>
      </c>
      <c r="E373" s="21" t="s">
        <v>93</v>
      </c>
      <c r="F373" s="21">
        <v>2011.0</v>
      </c>
      <c r="G373" s="17">
        <v>8.4</v>
      </c>
      <c r="H373" s="16">
        <v>1.932</v>
      </c>
      <c r="I373" s="16">
        <v>16923.396</v>
      </c>
      <c r="J373" s="16">
        <v>64592.05200000001</v>
      </c>
      <c r="K373" s="16">
        <v>130.872</v>
      </c>
      <c r="L373" s="16">
        <v>1421.7</v>
      </c>
      <c r="M373" s="16">
        <v>6.0</v>
      </c>
      <c r="N373" s="16">
        <v>8.0</v>
      </c>
      <c r="O373" s="16">
        <v>8.0</v>
      </c>
      <c r="P373" s="16">
        <v>6.0</v>
      </c>
      <c r="Q373" s="17" t="str">
        <f t="shared" si="1"/>
        <v>0.75</v>
      </c>
      <c r="R373" s="17" t="str">
        <f t="shared" si="2"/>
        <v>3.105590062</v>
      </c>
      <c r="S373" s="17" t="str">
        <f t="shared" si="8"/>
        <v>1</v>
      </c>
      <c r="T373" s="17" t="str">
        <f t="shared" si="323"/>
        <v>Partial discharge,Low Temprature thermal fault,</v>
      </c>
      <c r="U373" s="17" t="str">
        <f t="shared" si="322"/>
        <v>Low temperature thermal </v>
      </c>
      <c r="V373" s="17" t="s">
        <v>37</v>
      </c>
      <c r="W373" s="17" t="str">
        <f t="shared" si="3"/>
        <v>0.75</v>
      </c>
      <c r="X373" s="17" t="str">
        <f t="shared" si="33"/>
        <v>3.105590062</v>
      </c>
      <c r="Y373" s="17" t="str">
        <f t="shared" si="9"/>
        <v>1</v>
      </c>
      <c r="Z373" s="17" t="s">
        <v>34</v>
      </c>
      <c r="AA373" s="17" t="str">
        <f t="shared" si="319"/>
        <v>Thermal  Fault &gt;300c and&lt;700 and &gt;700 c</v>
      </c>
      <c r="AB373" s="17" t="s">
        <v>107</v>
      </c>
      <c r="AC373" s="17" t="str">
        <f t="shared" si="5"/>
        <v>3.105590062</v>
      </c>
      <c r="AD373" s="18" t="str">
        <f t="shared" si="10"/>
        <v>0.75</v>
      </c>
      <c r="AE373" s="17" t="str">
        <f t="shared" si="6"/>
        <v>1</v>
      </c>
      <c r="AF373" s="17" t="str">
        <f t="shared" si="11"/>
        <v>1.333333333</v>
      </c>
      <c r="AG373" s="17" t="str">
        <f t="shared" si="320"/>
        <v>Thermal Decomposition, </v>
      </c>
      <c r="AH373" s="17" t="s">
        <v>30</v>
      </c>
      <c r="AI373" s="17" t="str">
        <f t="shared" si="16"/>
        <v>Arching</v>
      </c>
      <c r="AJ373" s="17" t="str">
        <f t="shared" si="235"/>
        <v>Thermal Decomposition,corona </v>
      </c>
    </row>
    <row r="374" ht="12.75" customHeight="1">
      <c r="A374" s="11">
        <v>372.0</v>
      </c>
      <c r="B374" s="13" t="s">
        <v>368</v>
      </c>
      <c r="C374" s="13" t="s">
        <v>224</v>
      </c>
      <c r="D374" s="13" t="s">
        <v>369</v>
      </c>
      <c r="E374" s="13" t="s">
        <v>106</v>
      </c>
      <c r="F374" s="13">
        <v>2017.0</v>
      </c>
      <c r="G374" s="14">
        <v>8.1</v>
      </c>
      <c r="H374" s="16">
        <v>3.0</v>
      </c>
      <c r="I374" s="16">
        <v>12949.875</v>
      </c>
      <c r="J374" s="16">
        <v>65539.935</v>
      </c>
      <c r="K374" s="16">
        <v>126.03599999999999</v>
      </c>
      <c r="L374" s="16">
        <v>1315.521</v>
      </c>
      <c r="M374" s="15">
        <v>5.0</v>
      </c>
      <c r="N374" s="15">
        <v>9.0</v>
      </c>
      <c r="O374" s="15">
        <v>7.0</v>
      </c>
      <c r="P374" s="15">
        <v>8.0</v>
      </c>
      <c r="Q374" s="17" t="str">
        <f t="shared" si="1"/>
        <v>1.142857143</v>
      </c>
      <c r="R374" s="17" t="str">
        <f t="shared" si="2"/>
        <v>1.666666667</v>
      </c>
      <c r="S374" s="17" t="str">
        <f t="shared" si="8"/>
        <v>0.7777777778</v>
      </c>
      <c r="T374" s="17" t="s">
        <v>30</v>
      </c>
      <c r="U374" s="17" t="s">
        <v>30</v>
      </c>
      <c r="V374" s="17" t="str">
        <f t="shared" ref="V374:V376" si="324">IF(S374&lt;1,"Partial discharge, Normal ",IF(S374&gt;3,"Arching,Thermal  Fault &gt; 700 c"))</f>
        <v>Partial discharge, Normal </v>
      </c>
      <c r="W374" s="17" t="str">
        <f t="shared" si="3"/>
        <v>1.142857143</v>
      </c>
      <c r="X374" s="17" t="str">
        <f t="shared" si="33"/>
        <v>1.666666667</v>
      </c>
      <c r="Y374" s="17" t="str">
        <f t="shared" si="9"/>
        <v>0.7777777778</v>
      </c>
      <c r="Z374" s="17" t="str">
        <f t="shared" ref="Z374:Z375" si="325">IF(W374&gt;1,"Discharge of Low Energy,  ",IF(W374&lt;0.1,"Thermal  Fault&gt; 300c and&lt;700 c"))</f>
        <v>Discharge of Low Energy,  </v>
      </c>
      <c r="AA374" s="17" t="str">
        <f t="shared" si="319"/>
        <v>Thermal  Fault &gt;300c and&lt;700 and &gt;700 c</v>
      </c>
      <c r="AB374" s="17" t="s">
        <v>107</v>
      </c>
      <c r="AC374" s="17" t="str">
        <f t="shared" si="5"/>
        <v>1.666666667</v>
      </c>
      <c r="AD374" s="18" t="str">
        <f t="shared" si="10"/>
        <v>1.142857143</v>
      </c>
      <c r="AE374" s="17" t="str">
        <f t="shared" si="6"/>
        <v>1.6</v>
      </c>
      <c r="AF374" s="17" t="str">
        <f t="shared" si="11"/>
        <v>1.125</v>
      </c>
      <c r="AG374" s="17" t="str">
        <f t="shared" si="320"/>
        <v>Thermal Decomposition, </v>
      </c>
      <c r="AH374" s="17" t="str">
        <f t="shared" ref="AH374:AH444" si="326">IF(AD374&lt;0.75,"Thermal Decomposition, ",IF(AD374&gt;0.75,"Arching"))</f>
        <v>Arching</v>
      </c>
      <c r="AI374" s="17" t="str">
        <f t="shared" si="16"/>
        <v>Arching</v>
      </c>
      <c r="AJ374" s="17" t="str">
        <f t="shared" si="235"/>
        <v>Thermal Decomposition,corona </v>
      </c>
    </row>
    <row r="375" ht="12.75" customHeight="1">
      <c r="A375" s="11">
        <v>373.0</v>
      </c>
      <c r="B375" s="13" t="s">
        <v>368</v>
      </c>
      <c r="C375" s="13" t="s">
        <v>224</v>
      </c>
      <c r="D375" s="13" t="s">
        <v>369</v>
      </c>
      <c r="E375" s="13" t="s">
        <v>106</v>
      </c>
      <c r="F375" s="13">
        <v>2017.0</v>
      </c>
      <c r="G375" s="14">
        <v>8.3</v>
      </c>
      <c r="H375" s="16">
        <v>5.0</v>
      </c>
      <c r="I375" s="16">
        <v>16975.824</v>
      </c>
      <c r="J375" s="16">
        <v>64113.931000000004</v>
      </c>
      <c r="K375" s="16">
        <v>133.71300000000002</v>
      </c>
      <c r="L375" s="16">
        <v>1346.3430000000003</v>
      </c>
      <c r="M375" s="15">
        <v>6.0</v>
      </c>
      <c r="N375" s="15">
        <v>7.0</v>
      </c>
      <c r="O375" s="15">
        <v>5.0</v>
      </c>
      <c r="P375" s="15">
        <v>9.0</v>
      </c>
      <c r="Q375" s="17" t="str">
        <f t="shared" si="1"/>
        <v>1.8</v>
      </c>
      <c r="R375" s="17" t="str">
        <f t="shared" si="2"/>
        <v>1.2</v>
      </c>
      <c r="S375" s="17" t="str">
        <f t="shared" si="8"/>
        <v>0.7142857143</v>
      </c>
      <c r="T375" s="17" t="s">
        <v>30</v>
      </c>
      <c r="U375" s="17" t="s">
        <v>30</v>
      </c>
      <c r="V375" s="17" t="str">
        <f t="shared" si="324"/>
        <v>Partial discharge, Normal </v>
      </c>
      <c r="W375" s="17" t="str">
        <f t="shared" si="3"/>
        <v>1.8</v>
      </c>
      <c r="X375" s="17" t="str">
        <f t="shared" si="33"/>
        <v>1.2</v>
      </c>
      <c r="Y375" s="17" t="str">
        <f t="shared" si="9"/>
        <v>0.7142857143</v>
      </c>
      <c r="Z375" s="17" t="str">
        <f t="shared" si="325"/>
        <v>Discharge of Low Energy,  </v>
      </c>
      <c r="AA375" s="17" t="str">
        <f t="shared" si="319"/>
        <v>Thermal  Fault &gt;300c and&lt;700 and &gt;700 c</v>
      </c>
      <c r="AB375" s="17" t="s">
        <v>107</v>
      </c>
      <c r="AC375" s="17" t="str">
        <f t="shared" si="5"/>
        <v>1.2</v>
      </c>
      <c r="AD375" s="18" t="str">
        <f t="shared" si="10"/>
        <v>1.8</v>
      </c>
      <c r="AE375" s="17" t="str">
        <f t="shared" si="6"/>
        <v>1.5</v>
      </c>
      <c r="AF375" s="17" t="str">
        <f t="shared" si="11"/>
        <v>0.7777777778</v>
      </c>
      <c r="AG375" s="17" t="str">
        <f t="shared" si="320"/>
        <v>Thermal Decomposition, </v>
      </c>
      <c r="AH375" s="17" t="str">
        <f t="shared" si="326"/>
        <v>Arching</v>
      </c>
      <c r="AI375" s="17" t="str">
        <f t="shared" si="16"/>
        <v>Arching</v>
      </c>
      <c r="AJ375" s="17" t="str">
        <f t="shared" si="235"/>
        <v>Thermal Decomposition,corona </v>
      </c>
    </row>
    <row r="376" ht="12.75" customHeight="1">
      <c r="A376" s="11">
        <v>374.0</v>
      </c>
      <c r="B376" s="13" t="s">
        <v>370</v>
      </c>
      <c r="C376" s="13" t="s">
        <v>224</v>
      </c>
      <c r="D376" s="13" t="s">
        <v>369</v>
      </c>
      <c r="E376" s="13" t="s">
        <v>106</v>
      </c>
      <c r="F376" s="13">
        <v>2017.0</v>
      </c>
      <c r="G376" s="14">
        <v>8.2</v>
      </c>
      <c r="H376" s="14">
        <v>7.0</v>
      </c>
      <c r="I376" s="16">
        <v>13422.088</v>
      </c>
      <c r="J376" s="16">
        <v>66525.78</v>
      </c>
      <c r="K376" s="16">
        <v>102.91</v>
      </c>
      <c r="L376" s="16">
        <v>1083.5479999999998</v>
      </c>
      <c r="M376" s="15">
        <v>5.0</v>
      </c>
      <c r="N376" s="15">
        <v>9.0</v>
      </c>
      <c r="O376" s="15">
        <v>8.0</v>
      </c>
      <c r="P376" s="15">
        <v>8.0</v>
      </c>
      <c r="Q376" s="17" t="str">
        <f t="shared" si="1"/>
        <v>1</v>
      </c>
      <c r="R376" s="17" t="str">
        <f t="shared" si="2"/>
        <v>0.7142857143</v>
      </c>
      <c r="S376" s="17" t="str">
        <f t="shared" si="8"/>
        <v>0.8888888889</v>
      </c>
      <c r="T376" s="17" t="s">
        <v>30</v>
      </c>
      <c r="U376" s="17" t="s">
        <v>30</v>
      </c>
      <c r="V376" s="17" t="str">
        <f t="shared" si="324"/>
        <v>Partial discharge, Normal </v>
      </c>
      <c r="W376" s="17" t="str">
        <f t="shared" si="3"/>
        <v>1</v>
      </c>
      <c r="X376" s="17" t="str">
        <f t="shared" si="33"/>
        <v>0.7142857143</v>
      </c>
      <c r="Y376" s="17" t="str">
        <f t="shared" si="9"/>
        <v>0.8888888889</v>
      </c>
      <c r="Z376" s="17" t="s">
        <v>34</v>
      </c>
      <c r="AA376" s="17" t="s">
        <v>34</v>
      </c>
      <c r="AB376" s="17" t="s">
        <v>107</v>
      </c>
      <c r="AC376" s="17" t="str">
        <f t="shared" si="5"/>
        <v>0.7142857143</v>
      </c>
      <c r="AD376" s="18" t="str">
        <f t="shared" si="10"/>
        <v>1</v>
      </c>
      <c r="AE376" s="17" t="str">
        <f t="shared" si="6"/>
        <v>1.6</v>
      </c>
      <c r="AF376" s="17" t="str">
        <f t="shared" si="11"/>
        <v>1.125</v>
      </c>
      <c r="AG376" s="17" t="s">
        <v>30</v>
      </c>
      <c r="AH376" s="17" t="str">
        <f t="shared" si="326"/>
        <v>Arching</v>
      </c>
      <c r="AI376" s="17" t="str">
        <f t="shared" si="16"/>
        <v>Arching</v>
      </c>
      <c r="AJ376" s="17" t="str">
        <f t="shared" si="235"/>
        <v>Thermal Decomposition,corona </v>
      </c>
    </row>
    <row r="377" ht="12.75" customHeight="1">
      <c r="A377" s="11">
        <v>375.0</v>
      </c>
      <c r="B377" s="13" t="s">
        <v>370</v>
      </c>
      <c r="C377" s="13" t="s">
        <v>224</v>
      </c>
      <c r="D377" s="13" t="s">
        <v>369</v>
      </c>
      <c r="E377" s="13" t="s">
        <v>106</v>
      </c>
      <c r="F377" s="13">
        <v>2017.0</v>
      </c>
      <c r="G377" s="14">
        <v>8.2</v>
      </c>
      <c r="H377" s="14">
        <v>6.0</v>
      </c>
      <c r="I377" s="16">
        <v>10786.116</v>
      </c>
      <c r="J377" s="16">
        <v>68862.78</v>
      </c>
      <c r="K377" s="16">
        <v>106.764</v>
      </c>
      <c r="L377" s="16">
        <v>1135.29</v>
      </c>
      <c r="M377" s="15">
        <v>7.0</v>
      </c>
      <c r="N377" s="15">
        <v>8.0</v>
      </c>
      <c r="O377" s="15">
        <v>9.0</v>
      </c>
      <c r="P377" s="15">
        <v>9.0</v>
      </c>
      <c r="Q377" s="17" t="str">
        <f t="shared" si="1"/>
        <v>1</v>
      </c>
      <c r="R377" s="17" t="str">
        <f t="shared" si="2"/>
        <v>1.166666667</v>
      </c>
      <c r="S377" s="17" t="str">
        <f t="shared" si="8"/>
        <v>1.125</v>
      </c>
      <c r="T377" s="17" t="s">
        <v>30</v>
      </c>
      <c r="U377" s="17" t="s">
        <v>30</v>
      </c>
      <c r="V377" s="17" t="s">
        <v>37</v>
      </c>
      <c r="W377" s="17" t="str">
        <f t="shared" si="3"/>
        <v>1</v>
      </c>
      <c r="X377" s="17" t="str">
        <f t="shared" si="33"/>
        <v>1.166666667</v>
      </c>
      <c r="Y377" s="17" t="str">
        <f t="shared" si="9"/>
        <v>1.125</v>
      </c>
      <c r="Z377" s="17" t="s">
        <v>34</v>
      </c>
      <c r="AA377" s="17" t="str">
        <f>IF(X377&lt;0.1,"Partial Discharges, ",IF(X377&gt;1,"Thermal  Fault &gt;300c and&lt;700 and &gt;700 c"))</f>
        <v>Thermal  Fault &gt;300c and&lt;700 and &gt;700 c</v>
      </c>
      <c r="AB377" s="17" t="str">
        <f t="shared" ref="AB377:AB379" si="327">IF(Y377&lt;0.2,"Partial Discharges, ",IF(Y377&gt;1,"Thermal  Fault  &gt;700 c"))</f>
        <v>Thermal  Fault  &gt;700 c</v>
      </c>
      <c r="AC377" s="17" t="str">
        <f t="shared" si="5"/>
        <v>1.166666667</v>
      </c>
      <c r="AD377" s="18" t="str">
        <f t="shared" si="10"/>
        <v>1</v>
      </c>
      <c r="AE377" s="17" t="str">
        <f t="shared" si="6"/>
        <v>1.285714286</v>
      </c>
      <c r="AF377" s="17" t="str">
        <f t="shared" si="11"/>
        <v>0.8888888889</v>
      </c>
      <c r="AG377" s="17" t="str">
        <f>IF(AC377&gt;1,"Thermal Decomposition, ",IF(AC377&lt;0.1,"Corona,Arching"))</f>
        <v>Thermal Decomposition, </v>
      </c>
      <c r="AH377" s="17" t="str">
        <f t="shared" si="326"/>
        <v>Arching</v>
      </c>
      <c r="AI377" s="17" t="str">
        <f t="shared" si="16"/>
        <v>Arching</v>
      </c>
      <c r="AJ377" s="17" t="str">
        <f t="shared" si="235"/>
        <v>Thermal Decomposition,corona </v>
      </c>
    </row>
    <row r="378" ht="12.75" customHeight="1">
      <c r="A378" s="11">
        <v>376.0</v>
      </c>
      <c r="B378" s="13" t="s">
        <v>291</v>
      </c>
      <c r="C378" s="13" t="s">
        <v>186</v>
      </c>
      <c r="D378" s="13" t="s">
        <v>249</v>
      </c>
      <c r="E378" s="13" t="s">
        <v>106</v>
      </c>
      <c r="F378" s="13">
        <v>2002.0</v>
      </c>
      <c r="G378" s="14">
        <v>7.8</v>
      </c>
      <c r="H378" s="15">
        <v>55.068</v>
      </c>
      <c r="I378" s="15">
        <v>14179.931999999999</v>
      </c>
      <c r="J378" s="15">
        <v>61003.644</v>
      </c>
      <c r="K378" s="15">
        <v>190.398</v>
      </c>
      <c r="L378" s="15">
        <v>1966.9338</v>
      </c>
      <c r="M378" s="15">
        <v>22.464</v>
      </c>
      <c r="N378" s="15">
        <v>7.0</v>
      </c>
      <c r="O378" s="15">
        <v>35.49</v>
      </c>
      <c r="P378" s="15">
        <v>22.386</v>
      </c>
      <c r="Q378" s="17" t="str">
        <f t="shared" si="1"/>
        <v>0.6307692308</v>
      </c>
      <c r="R378" s="17" t="str">
        <f t="shared" si="2"/>
        <v>0.4079320113</v>
      </c>
      <c r="S378" s="17" t="str">
        <f t="shared" si="8"/>
        <v>5.07</v>
      </c>
      <c r="T378" s="17" t="str">
        <f t="shared" ref="T378:T382" si="328">IF(Q378&lt;1,"Partial discharge,Low Temprature thermal fault,")</f>
        <v>Partial discharge,Low Temprature thermal fault,</v>
      </c>
      <c r="U378" s="17" t="s">
        <v>31</v>
      </c>
      <c r="V378" s="17" t="str">
        <f>IF(S378&lt;1,"Partial discharge, Normal ",IF(S378&gt;3,"Arching,Thermal  Fault &gt; 700 c"))</f>
        <v>Arching,Thermal  Fault &gt; 700 c</v>
      </c>
      <c r="W378" s="17" t="str">
        <f t="shared" si="3"/>
        <v>0.6307692308</v>
      </c>
      <c r="X378" s="17" t="str">
        <f t="shared" si="33"/>
        <v>0.4079320113</v>
      </c>
      <c r="Y378" s="17" t="str">
        <f t="shared" si="9"/>
        <v>5.07</v>
      </c>
      <c r="Z378" s="17" t="s">
        <v>278</v>
      </c>
      <c r="AA378" s="17" t="s">
        <v>34</v>
      </c>
      <c r="AB378" s="17" t="str">
        <f t="shared" si="327"/>
        <v>Thermal  Fault  &gt;700 c</v>
      </c>
      <c r="AC378" s="17" t="str">
        <f t="shared" si="5"/>
        <v>0.4079320113</v>
      </c>
      <c r="AD378" s="18" t="str">
        <f t="shared" si="10"/>
        <v>0.6307692308</v>
      </c>
      <c r="AE378" s="17" t="str">
        <f t="shared" si="6"/>
        <v>0.9965277778</v>
      </c>
      <c r="AF378" s="17" t="str">
        <f t="shared" si="11"/>
        <v>0.3126954346</v>
      </c>
      <c r="AG378" s="17" t="s">
        <v>30</v>
      </c>
      <c r="AH378" s="17" t="str">
        <f t="shared" si="326"/>
        <v>Thermal Decomposition, </v>
      </c>
      <c r="AI378" s="17" t="str">
        <f t="shared" si="16"/>
        <v>Arching</v>
      </c>
      <c r="AJ378" s="17" t="str">
        <f t="shared" si="235"/>
        <v>Arching</v>
      </c>
    </row>
    <row r="379" ht="12.75" customHeight="1">
      <c r="A379" s="11">
        <v>377.0</v>
      </c>
      <c r="B379" s="21" t="s">
        <v>277</v>
      </c>
      <c r="C379" s="13" t="s">
        <v>186</v>
      </c>
      <c r="D379" s="13" t="s">
        <v>249</v>
      </c>
      <c r="E379" s="13" t="s">
        <v>106</v>
      </c>
      <c r="F379" s="21">
        <v>2002.0</v>
      </c>
      <c r="G379" s="25">
        <v>8.3</v>
      </c>
      <c r="H379" s="16">
        <v>50.71300000000001</v>
      </c>
      <c r="I379" s="16">
        <v>17136.263000000003</v>
      </c>
      <c r="J379" s="16">
        <v>62476.175</v>
      </c>
      <c r="K379" s="16">
        <v>191.81300000000002</v>
      </c>
      <c r="L379" s="16">
        <v>1998.5570000000002</v>
      </c>
      <c r="M379" s="16">
        <v>23.157000000000004</v>
      </c>
      <c r="N379" s="15">
        <v>14.0</v>
      </c>
      <c r="O379" s="15">
        <v>32.785000000000004</v>
      </c>
      <c r="P379" s="15">
        <v>27.473000000000003</v>
      </c>
      <c r="Q379" s="17" t="str">
        <f t="shared" si="1"/>
        <v>0.8379746835</v>
      </c>
      <c r="R379" s="17" t="str">
        <f t="shared" si="2"/>
        <v>0.4566284779</v>
      </c>
      <c r="S379" s="17" t="str">
        <f t="shared" si="8"/>
        <v>2.341785714</v>
      </c>
      <c r="T379" s="17" t="str">
        <f t="shared" si="328"/>
        <v>Partial discharge,Low Temprature thermal fault,</v>
      </c>
      <c r="U379" s="17" t="s">
        <v>31</v>
      </c>
      <c r="V379" s="17" t="s">
        <v>37</v>
      </c>
      <c r="W379" s="17" t="str">
        <f t="shared" si="3"/>
        <v>0.8379746835</v>
      </c>
      <c r="X379" s="17" t="str">
        <f t="shared" si="33"/>
        <v>0.4566284779</v>
      </c>
      <c r="Y379" s="17" t="str">
        <f t="shared" si="9"/>
        <v>2.341785714</v>
      </c>
      <c r="Z379" s="17" t="s">
        <v>278</v>
      </c>
      <c r="AA379" s="17" t="s">
        <v>34</v>
      </c>
      <c r="AB379" s="17" t="str">
        <f t="shared" si="327"/>
        <v>Thermal  Fault  &gt;700 c</v>
      </c>
      <c r="AC379" s="17" t="str">
        <f t="shared" si="5"/>
        <v>0.4566284779</v>
      </c>
      <c r="AD379" s="18" t="str">
        <f t="shared" si="10"/>
        <v>0.8379746835</v>
      </c>
      <c r="AE379" s="17" t="str">
        <f t="shared" si="6"/>
        <v>1.186379928</v>
      </c>
      <c r="AF379" s="17" t="str">
        <f t="shared" si="11"/>
        <v>0.509591235</v>
      </c>
      <c r="AG379" s="17" t="s">
        <v>30</v>
      </c>
      <c r="AH379" s="17" t="str">
        <f t="shared" si="326"/>
        <v>Arching</v>
      </c>
      <c r="AI379" s="17" t="str">
        <f t="shared" si="16"/>
        <v>Arching</v>
      </c>
      <c r="AJ379" s="17" t="str">
        <f t="shared" si="235"/>
        <v>Thermal Decomposition,corona </v>
      </c>
    </row>
    <row r="380" ht="12.75" customHeight="1">
      <c r="A380" s="11">
        <v>378.0</v>
      </c>
      <c r="B380" s="29" t="s">
        <v>371</v>
      </c>
      <c r="C380" s="17" t="s">
        <v>328</v>
      </c>
      <c r="D380" s="17" t="s">
        <v>329</v>
      </c>
      <c r="E380" s="17" t="s">
        <v>330</v>
      </c>
      <c r="F380" s="17">
        <v>2010.0</v>
      </c>
      <c r="G380" s="17">
        <v>8.1</v>
      </c>
      <c r="H380" s="16">
        <v>4.536</v>
      </c>
      <c r="I380" s="16">
        <v>15840.035999999998</v>
      </c>
      <c r="J380" s="16">
        <v>63351.963</v>
      </c>
      <c r="K380" s="16">
        <v>108.94500000000001</v>
      </c>
      <c r="L380" s="16">
        <v>1152.225</v>
      </c>
      <c r="M380" s="16">
        <v>3.078</v>
      </c>
      <c r="N380" s="16">
        <v>9.0</v>
      </c>
      <c r="O380" s="16">
        <v>9.0</v>
      </c>
      <c r="P380" s="16">
        <v>4.0</v>
      </c>
      <c r="Q380" s="17" t="str">
        <f t="shared" si="1"/>
        <v>0.4444444444</v>
      </c>
      <c r="R380" s="17" t="str">
        <f t="shared" si="2"/>
        <v>0.6785714286</v>
      </c>
      <c r="S380" s="17" t="str">
        <f t="shared" si="8"/>
        <v>1</v>
      </c>
      <c r="T380" s="17" t="str">
        <f t="shared" si="328"/>
        <v>Partial discharge,Low Temprature thermal fault,</v>
      </c>
      <c r="U380" s="17" t="s">
        <v>31</v>
      </c>
      <c r="V380" s="17" t="s">
        <v>37</v>
      </c>
      <c r="W380" s="17" t="str">
        <f t="shared" si="3"/>
        <v>0.4444444444</v>
      </c>
      <c r="X380" s="17" t="str">
        <f t="shared" si="33"/>
        <v>0.6785714286</v>
      </c>
      <c r="Y380" s="17" t="str">
        <f t="shared" si="9"/>
        <v>1</v>
      </c>
      <c r="Z380" s="17" t="s">
        <v>34</v>
      </c>
      <c r="AA380" s="17" t="s">
        <v>34</v>
      </c>
      <c r="AB380" s="17" t="s">
        <v>107</v>
      </c>
      <c r="AC380" s="17" t="str">
        <f t="shared" si="5"/>
        <v>0.6785714286</v>
      </c>
      <c r="AD380" s="18" t="str">
        <f t="shared" si="10"/>
        <v>0.4444444444</v>
      </c>
      <c r="AE380" s="17" t="str">
        <f t="shared" si="6"/>
        <v>1.299545159</v>
      </c>
      <c r="AF380" s="17" t="str">
        <f t="shared" si="11"/>
        <v>2.25</v>
      </c>
      <c r="AG380" s="17" t="s">
        <v>30</v>
      </c>
      <c r="AH380" s="17" t="str">
        <f t="shared" si="326"/>
        <v>Thermal Decomposition, </v>
      </c>
      <c r="AI380" s="17" t="str">
        <f t="shared" si="16"/>
        <v>Arching</v>
      </c>
      <c r="AJ380" s="17" t="str">
        <f t="shared" si="235"/>
        <v>Thermal Decomposition,corona </v>
      </c>
    </row>
    <row r="381" ht="12.75" customHeight="1">
      <c r="A381" s="11">
        <v>379.0</v>
      </c>
      <c r="B381" s="19" t="s">
        <v>372</v>
      </c>
      <c r="C381" s="17" t="s">
        <v>328</v>
      </c>
      <c r="D381" s="17" t="s">
        <v>329</v>
      </c>
      <c r="E381" s="17" t="s">
        <v>330</v>
      </c>
      <c r="F381" s="17">
        <v>2010.0</v>
      </c>
      <c r="G381" s="25">
        <v>7.9</v>
      </c>
      <c r="H381" s="16">
        <v>2.765</v>
      </c>
      <c r="I381" s="16">
        <v>15451.531000000003</v>
      </c>
      <c r="J381" s="16">
        <v>61098.284</v>
      </c>
      <c r="K381" s="16">
        <v>123.71399999999998</v>
      </c>
      <c r="L381" s="16">
        <v>1455.575</v>
      </c>
      <c r="M381" s="16">
        <v>6.7940000000000005</v>
      </c>
      <c r="N381" s="16">
        <v>7.0</v>
      </c>
      <c r="O381" s="16">
        <v>6.0</v>
      </c>
      <c r="P381" s="16">
        <v>3.0</v>
      </c>
      <c r="Q381" s="17" t="str">
        <f t="shared" si="1"/>
        <v>0.5</v>
      </c>
      <c r="R381" s="17" t="str">
        <f t="shared" si="2"/>
        <v>2.457142857</v>
      </c>
      <c r="S381" s="17" t="str">
        <f t="shared" si="8"/>
        <v>0.8571428571</v>
      </c>
      <c r="T381" s="17" t="str">
        <f t="shared" si="328"/>
        <v>Partial discharge,Low Temprature thermal fault,</v>
      </c>
      <c r="U381" s="17" t="str">
        <f>IF(R381&gt;1,"Thermal Fault &lt;700c, thermal fault &gt;700c ")</f>
        <v>Thermal Fault &lt;700c, thermal fault &gt;700c </v>
      </c>
      <c r="V381" s="17" t="str">
        <f>IF(S381&lt;1,"Partial discharge, Normal ",IF(S381&gt;3,"Arching,Thermal  Fault &gt; 700 c"))</f>
        <v>Partial discharge, Normal </v>
      </c>
      <c r="W381" s="17" t="str">
        <f t="shared" si="3"/>
        <v>0.5</v>
      </c>
      <c r="X381" s="17" t="str">
        <f t="shared" si="33"/>
        <v>2.457142857</v>
      </c>
      <c r="Y381" s="17" t="str">
        <f t="shared" si="9"/>
        <v>0.8571428571</v>
      </c>
      <c r="Z381" s="17" t="s">
        <v>34</v>
      </c>
      <c r="AA381" s="17" t="str">
        <f t="shared" ref="AA381:AA382" si="329">IF(X381&lt;0.1,"Partial Discharges, ",IF(X381&gt;1,"Thermal  Fault &gt;300c and&lt;700 and &gt;700 c"))</f>
        <v>Thermal  Fault &gt;300c and&lt;700 and &gt;700 c</v>
      </c>
      <c r="AB381" s="17" t="s">
        <v>107</v>
      </c>
      <c r="AC381" s="17" t="str">
        <f t="shared" si="5"/>
        <v>2.457142857</v>
      </c>
      <c r="AD381" s="18" t="str">
        <f t="shared" si="10"/>
        <v>0.5</v>
      </c>
      <c r="AE381" s="17" t="str">
        <f t="shared" si="6"/>
        <v>0.4415660877</v>
      </c>
      <c r="AF381" s="17" t="str">
        <f t="shared" si="11"/>
        <v>2.333333333</v>
      </c>
      <c r="AG381" s="17" t="str">
        <f t="shared" ref="AG381:AG382" si="330">IF(AC381&gt;1,"Thermal Decomposition, ",IF(AC381&lt;0.1,"Corona,Arching"))</f>
        <v>Thermal Decomposition, </v>
      </c>
      <c r="AH381" s="17" t="str">
        <f t="shared" si="326"/>
        <v>Thermal Decomposition, </v>
      </c>
      <c r="AI381" s="17" t="str">
        <f t="shared" si="16"/>
        <v>Arching</v>
      </c>
      <c r="AJ381" s="17" t="str">
        <f t="shared" si="235"/>
        <v>Thermal Decomposition,corona </v>
      </c>
    </row>
    <row r="382" ht="12.75" customHeight="1">
      <c r="A382" s="11">
        <v>380.0</v>
      </c>
      <c r="B382" s="22" t="s">
        <v>67</v>
      </c>
      <c r="C382" s="17" t="s">
        <v>328</v>
      </c>
      <c r="D382" s="17" t="s">
        <v>329</v>
      </c>
      <c r="E382" s="17" t="s">
        <v>330</v>
      </c>
      <c r="F382" s="17">
        <v>2010.0</v>
      </c>
      <c r="G382" s="17">
        <v>7.9</v>
      </c>
      <c r="H382" s="16">
        <v>2.923</v>
      </c>
      <c r="I382" s="16">
        <v>15620.038000000002</v>
      </c>
      <c r="J382" s="16">
        <v>61254.941</v>
      </c>
      <c r="K382" s="16">
        <v>105.544</v>
      </c>
      <c r="L382" s="16">
        <v>1170.4640000000002</v>
      </c>
      <c r="M382" s="16">
        <v>8.0</v>
      </c>
      <c r="N382" s="16">
        <v>7.0</v>
      </c>
      <c r="O382" s="16">
        <v>8.0</v>
      </c>
      <c r="P382" s="16">
        <v>7.0</v>
      </c>
      <c r="Q382" s="17" t="str">
        <f t="shared" si="1"/>
        <v>0.875</v>
      </c>
      <c r="R382" s="17" t="str">
        <f t="shared" si="2"/>
        <v>2.736914129</v>
      </c>
      <c r="S382" s="17" t="str">
        <f t="shared" si="8"/>
        <v>1.142857143</v>
      </c>
      <c r="T382" s="17" t="str">
        <f t="shared" si="328"/>
        <v>Partial discharge,Low Temprature thermal fault,</v>
      </c>
      <c r="U382" s="17" t="str">
        <f>IF(R382&lt;0.1, "Partial discharge", "Low temperature thermal ")</f>
        <v>Low temperature thermal </v>
      </c>
      <c r="V382" s="17" t="s">
        <v>37</v>
      </c>
      <c r="W382" s="17" t="str">
        <f t="shared" si="3"/>
        <v>0.875</v>
      </c>
      <c r="X382" s="17" t="str">
        <f t="shared" si="33"/>
        <v>2.736914129</v>
      </c>
      <c r="Y382" s="17" t="str">
        <f t="shared" si="9"/>
        <v>1.142857143</v>
      </c>
      <c r="Z382" s="17" t="s">
        <v>34</v>
      </c>
      <c r="AA382" s="17" t="str">
        <f t="shared" si="329"/>
        <v>Thermal  Fault &gt;300c and&lt;700 and &gt;700 c</v>
      </c>
      <c r="AB382" s="17" t="str">
        <f t="shared" ref="AB382:AB383" si="331">IF(Y382&lt;0.2,"Partial Discharges, ",IF(Y382&gt;1,"Thermal  Fault  &gt;700 c"))</f>
        <v>Thermal  Fault  &gt;700 c</v>
      </c>
      <c r="AC382" s="17" t="str">
        <f t="shared" si="5"/>
        <v>2.736914129</v>
      </c>
      <c r="AD382" s="18" t="str">
        <f t="shared" si="10"/>
        <v>0.875</v>
      </c>
      <c r="AE382" s="17" t="str">
        <f t="shared" si="6"/>
        <v>0.875</v>
      </c>
      <c r="AF382" s="17" t="str">
        <f t="shared" si="11"/>
        <v>1</v>
      </c>
      <c r="AG382" s="17" t="str">
        <f t="shared" si="330"/>
        <v>Thermal Decomposition, </v>
      </c>
      <c r="AH382" s="17" t="str">
        <f t="shared" si="326"/>
        <v>Arching</v>
      </c>
      <c r="AI382" s="17" t="str">
        <f t="shared" si="16"/>
        <v>Arching</v>
      </c>
      <c r="AJ382" s="17" t="str">
        <f t="shared" si="235"/>
        <v>Thermal Decomposition,corona </v>
      </c>
    </row>
    <row r="383" ht="12.75" customHeight="1">
      <c r="A383" s="11">
        <v>381.0</v>
      </c>
      <c r="B383" s="22" t="s">
        <v>67</v>
      </c>
      <c r="C383" s="17" t="s">
        <v>328</v>
      </c>
      <c r="D383" s="17" t="s">
        <v>329</v>
      </c>
      <c r="E383" s="17" t="s">
        <v>330</v>
      </c>
      <c r="F383" s="17">
        <v>2010.0</v>
      </c>
      <c r="G383" s="17">
        <v>8.2</v>
      </c>
      <c r="H383" s="16">
        <v>6.97</v>
      </c>
      <c r="I383" s="16">
        <v>16583.27</v>
      </c>
      <c r="J383" s="16">
        <v>63266.444</v>
      </c>
      <c r="K383" s="16">
        <v>119.39199999999998</v>
      </c>
      <c r="L383" s="16">
        <v>1272.722</v>
      </c>
      <c r="M383" s="16">
        <v>1.886</v>
      </c>
      <c r="N383" s="16">
        <v>6.0</v>
      </c>
      <c r="O383" s="16">
        <v>8.0</v>
      </c>
      <c r="P383" s="16">
        <v>9.0</v>
      </c>
      <c r="Q383" s="17" t="str">
        <f t="shared" si="1"/>
        <v>1.125</v>
      </c>
      <c r="R383" s="17" t="str">
        <f t="shared" si="2"/>
        <v>0.2705882353</v>
      </c>
      <c r="S383" s="17" t="str">
        <f t="shared" si="8"/>
        <v>1.333333333</v>
      </c>
      <c r="T383" s="17" t="s">
        <v>30</v>
      </c>
      <c r="U383" s="17" t="s">
        <v>31</v>
      </c>
      <c r="V383" s="17" t="s">
        <v>37</v>
      </c>
      <c r="W383" s="17" t="str">
        <f t="shared" si="3"/>
        <v>1.125</v>
      </c>
      <c r="X383" s="17" t="str">
        <f t="shared" si="33"/>
        <v>0.2705882353</v>
      </c>
      <c r="Y383" s="17" t="str">
        <f t="shared" si="9"/>
        <v>1.333333333</v>
      </c>
      <c r="Z383" s="17" t="str">
        <f>IF(W383&gt;1,"Discharge of Low Energy,  ",IF(W383&lt;0.1,"Thermal  Fault&gt; 300c and&lt;700 c"))</f>
        <v>Discharge of Low Energy,  </v>
      </c>
      <c r="AA383" s="17" t="s">
        <v>34</v>
      </c>
      <c r="AB383" s="17" t="str">
        <f t="shared" si="331"/>
        <v>Thermal  Fault  &gt;700 c</v>
      </c>
      <c r="AC383" s="17" t="str">
        <f t="shared" si="5"/>
        <v>0.2705882353</v>
      </c>
      <c r="AD383" s="18" t="str">
        <f t="shared" si="10"/>
        <v>1.125</v>
      </c>
      <c r="AE383" s="17" t="str">
        <f t="shared" si="6"/>
        <v>4.772004242</v>
      </c>
      <c r="AF383" s="17" t="str">
        <f t="shared" si="11"/>
        <v>0.6666666667</v>
      </c>
      <c r="AG383" s="17" t="s">
        <v>30</v>
      </c>
      <c r="AH383" s="17" t="str">
        <f t="shared" si="326"/>
        <v>Arching</v>
      </c>
      <c r="AI383" s="17" t="str">
        <f t="shared" si="16"/>
        <v>Arching</v>
      </c>
      <c r="AJ383" s="17" t="str">
        <f t="shared" si="235"/>
        <v>Thermal Decomposition,corona </v>
      </c>
    </row>
    <row r="384" ht="12.75" customHeight="1">
      <c r="A384" s="11">
        <v>382.0</v>
      </c>
      <c r="B384" s="22" t="s">
        <v>67</v>
      </c>
      <c r="C384" s="17" t="s">
        <v>328</v>
      </c>
      <c r="D384" s="17" t="s">
        <v>329</v>
      </c>
      <c r="E384" s="17" t="s">
        <v>330</v>
      </c>
      <c r="F384" s="17">
        <v>2010.0</v>
      </c>
      <c r="G384" s="17">
        <v>8.5</v>
      </c>
      <c r="H384" s="16">
        <v>6.12</v>
      </c>
      <c r="I384" s="16">
        <v>17355.045000000002</v>
      </c>
      <c r="J384" s="16">
        <v>65430.025</v>
      </c>
      <c r="K384" s="16">
        <v>110.24500000000002</v>
      </c>
      <c r="L384" s="16">
        <v>1201.22</v>
      </c>
      <c r="M384" s="16">
        <v>9.0</v>
      </c>
      <c r="N384" s="16">
        <v>9.0</v>
      </c>
      <c r="O384" s="16">
        <v>8.0</v>
      </c>
      <c r="P384" s="16">
        <v>8.0</v>
      </c>
      <c r="Q384" s="17" t="str">
        <f t="shared" si="1"/>
        <v>1</v>
      </c>
      <c r="R384" s="17" t="str">
        <f t="shared" si="2"/>
        <v>1.470588235</v>
      </c>
      <c r="S384" s="17" t="str">
        <f t="shared" si="8"/>
        <v>0.8888888889</v>
      </c>
      <c r="T384" s="17" t="s">
        <v>30</v>
      </c>
      <c r="U384" s="17" t="str">
        <f t="shared" ref="U384:U385" si="332">IF(R384&lt;0.1, "Partial discharge", "Low temperature thermal ")</f>
        <v>Low temperature thermal </v>
      </c>
      <c r="V384" s="17" t="str">
        <f>IF(S384&lt;1,"Partial discharge, Normal ",IF(S384&gt;3,"Arching,Thermal  Fault &gt; 700 c"))</f>
        <v>Partial discharge, Normal </v>
      </c>
      <c r="W384" s="17" t="str">
        <f t="shared" si="3"/>
        <v>1</v>
      </c>
      <c r="X384" s="17" t="str">
        <f t="shared" si="33"/>
        <v>1.470588235</v>
      </c>
      <c r="Y384" s="17" t="str">
        <f t="shared" si="9"/>
        <v>0.8888888889</v>
      </c>
      <c r="Z384" s="17" t="s">
        <v>34</v>
      </c>
      <c r="AA384" s="17" t="str">
        <f>IF(X384&lt;0.1,"Partial Discharges, ",IF(X384&gt;1,"Thermal  Fault &gt;300c and&lt;700 and &gt;700 c"))</f>
        <v>Thermal  Fault &gt;300c and&lt;700 and &gt;700 c</v>
      </c>
      <c r="AB384" s="17" t="s">
        <v>107</v>
      </c>
      <c r="AC384" s="17" t="str">
        <f t="shared" si="5"/>
        <v>1.470588235</v>
      </c>
      <c r="AD384" s="18" t="str">
        <f t="shared" si="10"/>
        <v>1</v>
      </c>
      <c r="AE384" s="17" t="str">
        <f t="shared" si="6"/>
        <v>0.8888888889</v>
      </c>
      <c r="AF384" s="17" t="str">
        <f t="shared" si="11"/>
        <v>1.125</v>
      </c>
      <c r="AG384" s="17" t="str">
        <f>IF(AC384&gt;1,"Thermal Decomposition, ",IF(AC384&lt;0.1,"Corona,Arching"))</f>
        <v>Thermal Decomposition, </v>
      </c>
      <c r="AH384" s="17" t="str">
        <f t="shared" si="326"/>
        <v>Arching</v>
      </c>
      <c r="AI384" s="17" t="str">
        <f t="shared" si="16"/>
        <v>Arching</v>
      </c>
      <c r="AJ384" s="17" t="str">
        <f t="shared" si="235"/>
        <v>Thermal Decomposition,corona </v>
      </c>
    </row>
    <row r="385" ht="12.75" customHeight="1">
      <c r="A385" s="11">
        <v>383.0</v>
      </c>
      <c r="B385" s="29" t="s">
        <v>373</v>
      </c>
      <c r="C385" s="17" t="s">
        <v>328</v>
      </c>
      <c r="D385" s="17" t="s">
        <v>329</v>
      </c>
      <c r="E385" s="17" t="s">
        <v>330</v>
      </c>
      <c r="F385" s="17">
        <v>2010.0</v>
      </c>
      <c r="G385" s="17">
        <v>8.0</v>
      </c>
      <c r="H385" s="16">
        <v>9.120000000000001</v>
      </c>
      <c r="I385" s="16">
        <v>17496.64</v>
      </c>
      <c r="J385" s="16">
        <v>60945.6</v>
      </c>
      <c r="K385" s="16">
        <v>82.96</v>
      </c>
      <c r="L385" s="16">
        <v>991.5200000000001</v>
      </c>
      <c r="M385" s="16">
        <v>7.0</v>
      </c>
      <c r="N385" s="16">
        <v>6.0</v>
      </c>
      <c r="O385" s="16">
        <v>9.0</v>
      </c>
      <c r="P385" s="16">
        <v>8.0</v>
      </c>
      <c r="Q385" s="17" t="str">
        <f t="shared" si="1"/>
        <v>0.8888888889</v>
      </c>
      <c r="R385" s="17" t="str">
        <f t="shared" si="2"/>
        <v>0.7675438596</v>
      </c>
      <c r="S385" s="17" t="str">
        <f t="shared" si="8"/>
        <v>1.5</v>
      </c>
      <c r="T385" s="17" t="str">
        <f>IF(Q385&lt;1,"Partial discharge,Low Temprature thermal fault,")</f>
        <v>Partial discharge,Low Temprature thermal fault,</v>
      </c>
      <c r="U385" s="17" t="str">
        <f t="shared" si="332"/>
        <v>Low temperature thermal </v>
      </c>
      <c r="V385" s="17" t="s">
        <v>37</v>
      </c>
      <c r="W385" s="17" t="str">
        <f t="shared" si="3"/>
        <v>0.8888888889</v>
      </c>
      <c r="X385" s="17" t="str">
        <f t="shared" si="33"/>
        <v>0.7675438596</v>
      </c>
      <c r="Y385" s="17" t="str">
        <f t="shared" si="9"/>
        <v>1.5</v>
      </c>
      <c r="Z385" s="17" t="s">
        <v>34</v>
      </c>
      <c r="AA385" s="17" t="s">
        <v>34</v>
      </c>
      <c r="AB385" s="17" t="str">
        <f>IF(Y385&lt;0.2,"Partial Discharges, ",IF(Y385&gt;1,"Thermal  Fault  &gt;700 c"))</f>
        <v>Thermal  Fault  &gt;700 c</v>
      </c>
      <c r="AC385" s="17" t="str">
        <f t="shared" si="5"/>
        <v>0.7675438596</v>
      </c>
      <c r="AD385" s="18" t="str">
        <f t="shared" si="10"/>
        <v>0.8888888889</v>
      </c>
      <c r="AE385" s="17" t="str">
        <f t="shared" si="6"/>
        <v>1.142857143</v>
      </c>
      <c r="AF385" s="17" t="str">
        <f t="shared" si="11"/>
        <v>0.75</v>
      </c>
      <c r="AG385" s="17" t="s">
        <v>30</v>
      </c>
      <c r="AH385" s="17" t="str">
        <f t="shared" si="326"/>
        <v>Arching</v>
      </c>
      <c r="AI385" s="17" t="str">
        <f t="shared" si="16"/>
        <v>Arching</v>
      </c>
      <c r="AJ385" s="17" t="str">
        <f t="shared" si="235"/>
        <v>Thermal Decomposition,corona </v>
      </c>
    </row>
    <row r="386" ht="12.75" customHeight="1">
      <c r="A386" s="11">
        <v>384.0</v>
      </c>
      <c r="B386" s="17" t="s">
        <v>374</v>
      </c>
      <c r="C386" s="17" t="s">
        <v>82</v>
      </c>
      <c r="D386" s="17" t="s">
        <v>190</v>
      </c>
      <c r="E386" s="17" t="s">
        <v>375</v>
      </c>
      <c r="F386" s="22" t="s">
        <v>67</v>
      </c>
      <c r="G386" s="17">
        <v>8.0</v>
      </c>
      <c r="H386" s="16">
        <v>2.0</v>
      </c>
      <c r="I386" s="16">
        <v>16212.880000000001</v>
      </c>
      <c r="J386" s="16">
        <v>60781.67999999999</v>
      </c>
      <c r="K386" s="16">
        <v>218.32</v>
      </c>
      <c r="L386" s="16">
        <v>2235.92</v>
      </c>
      <c r="M386" s="16">
        <v>5.4399999999999995</v>
      </c>
      <c r="N386" s="16">
        <v>8.0</v>
      </c>
      <c r="O386" s="16">
        <v>6.0</v>
      </c>
      <c r="P386" s="16">
        <v>6.0</v>
      </c>
      <c r="Q386" s="17" t="str">
        <f t="shared" si="1"/>
        <v>1</v>
      </c>
      <c r="R386" s="17" t="str">
        <f t="shared" si="2"/>
        <v>2.72</v>
      </c>
      <c r="S386" s="17" t="str">
        <f t="shared" si="8"/>
        <v>0.75</v>
      </c>
      <c r="T386" s="17" t="s">
        <v>30</v>
      </c>
      <c r="U386" s="17" t="str">
        <f>IF(R386&gt;1,"Thermal Fault &lt;700c, thermal fault &gt;700c ")</f>
        <v>Thermal Fault &lt;700c, thermal fault &gt;700c </v>
      </c>
      <c r="V386" s="17" t="str">
        <f>IF(S386&lt;1,"Partial discharge, Normal ",IF(S386&gt;3,"Arching,Thermal  Fault &gt; 700 c"))</f>
        <v>Partial discharge, Normal </v>
      </c>
      <c r="W386" s="17" t="str">
        <f t="shared" si="3"/>
        <v>1</v>
      </c>
      <c r="X386" s="17" t="str">
        <f t="shared" si="33"/>
        <v>2.72</v>
      </c>
      <c r="Y386" s="17" t="str">
        <f t="shared" si="9"/>
        <v>0.75</v>
      </c>
      <c r="Z386" s="17" t="s">
        <v>34</v>
      </c>
      <c r="AA386" s="17" t="str">
        <f t="shared" ref="AA386:AA387" si="333">IF(X386&lt;0.1,"Partial Discharges, ",IF(X386&gt;1,"Thermal  Fault &gt;300c and&lt;700 and &gt;700 c"))</f>
        <v>Thermal  Fault &gt;300c and&lt;700 and &gt;700 c</v>
      </c>
      <c r="AB386" s="17" t="s">
        <v>107</v>
      </c>
      <c r="AC386" s="17" t="str">
        <f t="shared" si="5"/>
        <v>2.72</v>
      </c>
      <c r="AD386" s="18" t="str">
        <f t="shared" si="10"/>
        <v>1</v>
      </c>
      <c r="AE386" s="17" t="str">
        <f t="shared" si="6"/>
        <v>1.102941176</v>
      </c>
      <c r="AF386" s="17" t="str">
        <f t="shared" si="11"/>
        <v>1.333333333</v>
      </c>
      <c r="AG386" s="17" t="str">
        <f t="shared" ref="AG386:AG387" si="334">IF(AC386&gt;1,"Thermal Decomposition, ",IF(AC386&lt;0.1,"Corona,Arching"))</f>
        <v>Thermal Decomposition, </v>
      </c>
      <c r="AH386" s="17" t="str">
        <f t="shared" si="326"/>
        <v>Arching</v>
      </c>
      <c r="AI386" s="17" t="str">
        <f t="shared" si="16"/>
        <v>Arching</v>
      </c>
      <c r="AJ386" s="17" t="str">
        <f t="shared" si="235"/>
        <v>Thermal Decomposition,corona </v>
      </c>
    </row>
    <row r="387" ht="12.75" customHeight="1">
      <c r="A387" s="11">
        <v>385.0</v>
      </c>
      <c r="B387" s="17" t="s">
        <v>374</v>
      </c>
      <c r="C387" s="17" t="s">
        <v>82</v>
      </c>
      <c r="D387" s="17" t="s">
        <v>190</v>
      </c>
      <c r="E387" s="17" t="s">
        <v>375</v>
      </c>
      <c r="F387" s="17">
        <v>1936.0</v>
      </c>
      <c r="G387" s="25">
        <v>8.6</v>
      </c>
      <c r="H387" s="16">
        <v>2.0</v>
      </c>
      <c r="I387" s="16">
        <v>15837.931999999997</v>
      </c>
      <c r="J387" s="16">
        <v>65614.73199999999</v>
      </c>
      <c r="K387" s="16">
        <v>96.836</v>
      </c>
      <c r="L387" s="16">
        <v>1082.912</v>
      </c>
      <c r="M387" s="16">
        <v>5.0</v>
      </c>
      <c r="N387" s="16">
        <v>6.0</v>
      </c>
      <c r="O387" s="16">
        <v>9.0</v>
      </c>
      <c r="P387" s="16">
        <v>4.0</v>
      </c>
      <c r="Q387" s="17" t="str">
        <f t="shared" si="1"/>
        <v>0.4444444444</v>
      </c>
      <c r="R387" s="17" t="str">
        <f t="shared" si="2"/>
        <v>2.5</v>
      </c>
      <c r="S387" s="17" t="str">
        <f t="shared" si="8"/>
        <v>1.5</v>
      </c>
      <c r="T387" s="17" t="str">
        <f t="shared" ref="T387:T389" si="335">IF(Q387&lt;1,"Partial discharge,Low Temprature thermal fault,")</f>
        <v>Partial discharge,Low Temprature thermal fault,</v>
      </c>
      <c r="U387" s="17" t="s">
        <v>30</v>
      </c>
      <c r="V387" s="17" t="s">
        <v>37</v>
      </c>
      <c r="W387" s="17" t="str">
        <f t="shared" si="3"/>
        <v>0.4444444444</v>
      </c>
      <c r="X387" s="17" t="str">
        <f t="shared" si="33"/>
        <v>2.5</v>
      </c>
      <c r="Y387" s="17" t="str">
        <f t="shared" si="9"/>
        <v>1.5</v>
      </c>
      <c r="Z387" s="17" t="s">
        <v>34</v>
      </c>
      <c r="AA387" s="17" t="str">
        <f t="shared" si="333"/>
        <v>Thermal  Fault &gt;300c and&lt;700 and &gt;700 c</v>
      </c>
      <c r="AB387" s="17" t="str">
        <f t="shared" ref="AB387:AB388" si="336">IF(Y387&lt;0.2,"Partial Discharges, ",IF(Y387&gt;1,"Thermal  Fault  &gt;700 c"))</f>
        <v>Thermal  Fault  &gt;700 c</v>
      </c>
      <c r="AC387" s="17" t="str">
        <f t="shared" si="5"/>
        <v>2.5</v>
      </c>
      <c r="AD387" s="18" t="str">
        <f t="shared" si="10"/>
        <v>0.4444444444</v>
      </c>
      <c r="AE387" s="17" t="str">
        <f t="shared" si="6"/>
        <v>0.8</v>
      </c>
      <c r="AF387" s="17" t="str">
        <f t="shared" si="11"/>
        <v>1.5</v>
      </c>
      <c r="AG387" s="17" t="str">
        <f t="shared" si="334"/>
        <v>Thermal Decomposition, </v>
      </c>
      <c r="AH387" s="17" t="str">
        <f t="shared" si="326"/>
        <v>Thermal Decomposition, </v>
      </c>
      <c r="AI387" s="17" t="str">
        <f t="shared" si="16"/>
        <v>Arching</v>
      </c>
      <c r="AJ387" s="17" t="str">
        <f t="shared" si="235"/>
        <v>Thermal Decomposition,corona </v>
      </c>
    </row>
    <row r="388" ht="12.75" customHeight="1">
      <c r="A388" s="11">
        <v>386.0</v>
      </c>
      <c r="B388" s="13" t="s">
        <v>376</v>
      </c>
      <c r="C388" s="13" t="s">
        <v>40</v>
      </c>
      <c r="D388" s="13" t="s">
        <v>190</v>
      </c>
      <c r="E388" s="13" t="s">
        <v>76</v>
      </c>
      <c r="F388" s="13">
        <v>1980.0</v>
      </c>
      <c r="G388" s="17">
        <v>8.4</v>
      </c>
      <c r="H388" s="16">
        <v>25.368000000000002</v>
      </c>
      <c r="I388" s="16">
        <v>14310.324000000002</v>
      </c>
      <c r="J388" s="16">
        <v>66929.268</v>
      </c>
      <c r="K388" s="16">
        <v>167.66400000000002</v>
      </c>
      <c r="L388" s="16">
        <v>1793.9040000000002</v>
      </c>
      <c r="M388" s="16">
        <v>15.036</v>
      </c>
      <c r="N388" s="16">
        <v>9.072000000000001</v>
      </c>
      <c r="O388" s="16">
        <v>57.204</v>
      </c>
      <c r="P388" s="16">
        <v>45.0</v>
      </c>
      <c r="Q388" s="17" t="str">
        <f t="shared" si="1"/>
        <v>0.7866582756</v>
      </c>
      <c r="R388" s="17" t="str">
        <f t="shared" si="2"/>
        <v>0.5927152318</v>
      </c>
      <c r="S388" s="17" t="str">
        <f t="shared" si="8"/>
        <v>6.305555556</v>
      </c>
      <c r="T388" s="17" t="str">
        <f t="shared" si="335"/>
        <v>Partial discharge,Low Temprature thermal fault,</v>
      </c>
      <c r="U388" s="17" t="s">
        <v>31</v>
      </c>
      <c r="V388" s="17" t="str">
        <f>IF(S388&lt;1,"Partial discharge, Normal ",IF(S388&gt;3,"Arching,Thermal  Fault &gt; 700 c"))</f>
        <v>Arching,Thermal  Fault &gt; 700 c</v>
      </c>
      <c r="W388" s="17" t="str">
        <f t="shared" si="3"/>
        <v>0.7866582756</v>
      </c>
      <c r="X388" s="17" t="str">
        <f t="shared" si="33"/>
        <v>0.5927152318</v>
      </c>
      <c r="Y388" s="17" t="str">
        <f t="shared" si="9"/>
        <v>6.305555556</v>
      </c>
      <c r="Z388" s="17" t="s">
        <v>34</v>
      </c>
      <c r="AA388" s="17" t="s">
        <v>34</v>
      </c>
      <c r="AB388" s="17" t="str">
        <f t="shared" si="336"/>
        <v>Thermal  Fault  &gt;700 c</v>
      </c>
      <c r="AC388" s="17" t="str">
        <f t="shared" si="5"/>
        <v>0.5927152318</v>
      </c>
      <c r="AD388" s="18" t="str">
        <f t="shared" si="10"/>
        <v>0.7866582756</v>
      </c>
      <c r="AE388" s="17" t="str">
        <f t="shared" si="6"/>
        <v>2.992817239</v>
      </c>
      <c r="AF388" s="17" t="str">
        <f t="shared" si="11"/>
        <v>0.2016</v>
      </c>
      <c r="AG388" s="17" t="s">
        <v>30</v>
      </c>
      <c r="AH388" s="17" t="str">
        <f t="shared" si="326"/>
        <v>Arching</v>
      </c>
      <c r="AI388" s="17" t="str">
        <f t="shared" si="16"/>
        <v>Arching</v>
      </c>
      <c r="AJ388" s="17" t="str">
        <f t="shared" si="235"/>
        <v>Arching</v>
      </c>
    </row>
    <row r="389" ht="12.75" customHeight="1">
      <c r="A389" s="11">
        <v>387.0</v>
      </c>
      <c r="B389" s="13" t="s">
        <v>341</v>
      </c>
      <c r="C389" s="13" t="s">
        <v>99</v>
      </c>
      <c r="D389" s="13" t="s">
        <v>190</v>
      </c>
      <c r="E389" s="13" t="s">
        <v>258</v>
      </c>
      <c r="F389" s="14">
        <v>2017.0</v>
      </c>
      <c r="G389" s="17">
        <v>8.1</v>
      </c>
      <c r="H389" s="16">
        <v>8.019</v>
      </c>
      <c r="I389" s="16">
        <v>15904.997999999998</v>
      </c>
      <c r="J389" s="16">
        <v>62388.711</v>
      </c>
      <c r="K389" s="16">
        <v>143.046</v>
      </c>
      <c r="L389" s="16">
        <v>1519.2359999999999</v>
      </c>
      <c r="M389" s="16">
        <v>6.399000000000001</v>
      </c>
      <c r="N389" s="16">
        <v>8.0</v>
      </c>
      <c r="O389" s="16">
        <v>8.0</v>
      </c>
      <c r="P389" s="16">
        <v>7.0</v>
      </c>
      <c r="Q389" s="17" t="str">
        <f t="shared" si="1"/>
        <v>0.875</v>
      </c>
      <c r="R389" s="17" t="str">
        <f t="shared" si="2"/>
        <v>0.797979798</v>
      </c>
      <c r="S389" s="17" t="str">
        <f t="shared" si="8"/>
        <v>1</v>
      </c>
      <c r="T389" s="17" t="str">
        <f t="shared" si="335"/>
        <v>Partial discharge,Low Temprature thermal fault,</v>
      </c>
      <c r="U389" s="17" t="s">
        <v>31</v>
      </c>
      <c r="V389" s="17" t="s">
        <v>37</v>
      </c>
      <c r="W389" s="17" t="str">
        <f t="shared" si="3"/>
        <v>0.875</v>
      </c>
      <c r="X389" s="17" t="str">
        <f t="shared" si="33"/>
        <v>0.797979798</v>
      </c>
      <c r="Y389" s="17" t="str">
        <f t="shared" si="9"/>
        <v>1</v>
      </c>
      <c r="Z389" s="17" t="s">
        <v>34</v>
      </c>
      <c r="AA389" s="17" t="s">
        <v>34</v>
      </c>
      <c r="AB389" s="17" t="s">
        <v>107</v>
      </c>
      <c r="AC389" s="17" t="str">
        <f t="shared" si="5"/>
        <v>0.797979798</v>
      </c>
      <c r="AD389" s="18" t="str">
        <f t="shared" si="10"/>
        <v>0.875</v>
      </c>
      <c r="AE389" s="17" t="str">
        <f t="shared" si="6"/>
        <v>1.093920925</v>
      </c>
      <c r="AF389" s="17" t="str">
        <f t="shared" si="11"/>
        <v>1.142857143</v>
      </c>
      <c r="AG389" s="17" t="s">
        <v>30</v>
      </c>
      <c r="AH389" s="17" t="str">
        <f t="shared" si="326"/>
        <v>Arching</v>
      </c>
      <c r="AI389" s="17" t="str">
        <f t="shared" si="16"/>
        <v>Arching</v>
      </c>
      <c r="AJ389" s="17" t="str">
        <f t="shared" si="235"/>
        <v>Thermal Decomposition,corona </v>
      </c>
    </row>
    <row r="390" ht="12.75" customHeight="1">
      <c r="A390" s="11">
        <v>388.0</v>
      </c>
      <c r="B390" s="13" t="s">
        <v>342</v>
      </c>
      <c r="C390" s="13" t="s">
        <v>99</v>
      </c>
      <c r="D390" s="13" t="s">
        <v>190</v>
      </c>
      <c r="E390" s="13" t="s">
        <v>258</v>
      </c>
      <c r="F390" s="14">
        <v>2018.0</v>
      </c>
      <c r="G390" s="25">
        <v>8.2</v>
      </c>
      <c r="H390" s="16">
        <v>6.1499999999999995</v>
      </c>
      <c r="I390" s="16">
        <v>15773.929999999998</v>
      </c>
      <c r="J390" s="16">
        <v>63846.92199999999</v>
      </c>
      <c r="K390" s="16">
        <v>133.004</v>
      </c>
      <c r="L390" s="16">
        <v>1413.024</v>
      </c>
      <c r="M390" s="16">
        <v>7.0</v>
      </c>
      <c r="N390" s="16">
        <v>7.0</v>
      </c>
      <c r="O390" s="16">
        <v>7.0</v>
      </c>
      <c r="P390" s="16">
        <v>8.0</v>
      </c>
      <c r="Q390" s="17" t="str">
        <f t="shared" si="1"/>
        <v>1.142857143</v>
      </c>
      <c r="R390" s="17" t="str">
        <f t="shared" si="2"/>
        <v>1.138211382</v>
      </c>
      <c r="S390" s="17" t="str">
        <f t="shared" si="8"/>
        <v>1</v>
      </c>
      <c r="T390" s="17" t="s">
        <v>30</v>
      </c>
      <c r="U390" s="17" t="str">
        <f t="shared" ref="U390:U391" si="337">IF(R390&lt;0.1, "Partial discharge", "Low temperature thermal ")</f>
        <v>Low temperature thermal </v>
      </c>
      <c r="V390" s="17" t="s">
        <v>37</v>
      </c>
      <c r="W390" s="17" t="str">
        <f t="shared" si="3"/>
        <v>1.142857143</v>
      </c>
      <c r="X390" s="17" t="str">
        <f t="shared" si="33"/>
        <v>1.138211382</v>
      </c>
      <c r="Y390" s="17" t="str">
        <f t="shared" si="9"/>
        <v>1</v>
      </c>
      <c r="Z390" s="17" t="str">
        <f t="shared" ref="Z390:Z391" si="338">IF(W390&gt;1,"Discharge of Low Energy,  ",IF(W390&lt;0.1,"Thermal  Fault&gt; 300c and&lt;700 c"))</f>
        <v>Discharge of Low Energy,  </v>
      </c>
      <c r="AA390" s="17" t="str">
        <f t="shared" ref="AA390:AA391" si="339">IF(X390&lt;0.1,"Partial Discharges, ",IF(X390&gt;1,"Thermal  Fault &gt;300c and&lt;700 and &gt;700 c"))</f>
        <v>Thermal  Fault &gt;300c and&lt;700 and &gt;700 c</v>
      </c>
      <c r="AB390" s="17" t="s">
        <v>107</v>
      </c>
      <c r="AC390" s="17" t="str">
        <f t="shared" si="5"/>
        <v>1.138211382</v>
      </c>
      <c r="AD390" s="18" t="str">
        <f t="shared" si="10"/>
        <v>1.142857143</v>
      </c>
      <c r="AE390" s="17" t="str">
        <f t="shared" si="6"/>
        <v>1.142857143</v>
      </c>
      <c r="AF390" s="17" t="str">
        <f t="shared" si="11"/>
        <v>0.875</v>
      </c>
      <c r="AG390" s="17" t="str">
        <f t="shared" ref="AG390:AG391" si="340">IF(AC390&gt;1,"Thermal Decomposition, ",IF(AC390&lt;0.1,"Corona,Arching"))</f>
        <v>Thermal Decomposition, </v>
      </c>
      <c r="AH390" s="17" t="str">
        <f t="shared" si="326"/>
        <v>Arching</v>
      </c>
      <c r="AI390" s="17" t="str">
        <f t="shared" si="16"/>
        <v>Arching</v>
      </c>
      <c r="AJ390" s="17" t="str">
        <f t="shared" si="235"/>
        <v>Thermal Decomposition,corona </v>
      </c>
    </row>
    <row r="391" ht="12.75" customHeight="1">
      <c r="A391" s="11">
        <v>389.0</v>
      </c>
      <c r="B391" s="14">
        <v>2019454.0</v>
      </c>
      <c r="C391" s="14" t="s">
        <v>78</v>
      </c>
      <c r="D391" s="14" t="s">
        <v>173</v>
      </c>
      <c r="E391" s="14" t="s">
        <v>91</v>
      </c>
      <c r="F391" s="14">
        <v>2008.0</v>
      </c>
      <c r="G391" s="19">
        <v>7.9</v>
      </c>
      <c r="H391" s="16">
        <v>4.345000000000001</v>
      </c>
      <c r="I391" s="16">
        <v>14745.666000000003</v>
      </c>
      <c r="J391" s="16">
        <v>62854.05900000001</v>
      </c>
      <c r="K391" s="16">
        <v>62.88400000000001</v>
      </c>
      <c r="L391" s="16">
        <v>719.848</v>
      </c>
      <c r="M391" s="16">
        <v>8.0</v>
      </c>
      <c r="N391" s="19">
        <v>6.0</v>
      </c>
      <c r="O391" s="16">
        <v>6.0</v>
      </c>
      <c r="P391" s="19">
        <v>9.0</v>
      </c>
      <c r="Q391" s="17" t="str">
        <f t="shared" si="1"/>
        <v>1.5</v>
      </c>
      <c r="R391" s="17" t="str">
        <f t="shared" si="2"/>
        <v>1.841196778</v>
      </c>
      <c r="S391" s="17" t="str">
        <f t="shared" si="8"/>
        <v>1</v>
      </c>
      <c r="T391" s="17" t="s">
        <v>30</v>
      </c>
      <c r="U391" s="17" t="str">
        <f t="shared" si="337"/>
        <v>Low temperature thermal </v>
      </c>
      <c r="V391" s="17" t="s">
        <v>37</v>
      </c>
      <c r="W391" s="17" t="str">
        <f t="shared" si="3"/>
        <v>1.5</v>
      </c>
      <c r="X391" s="17" t="str">
        <f t="shared" si="33"/>
        <v>1.841196778</v>
      </c>
      <c r="Y391" s="17" t="str">
        <f t="shared" si="9"/>
        <v>1</v>
      </c>
      <c r="Z391" s="17" t="str">
        <f t="shared" si="338"/>
        <v>Discharge of Low Energy,  </v>
      </c>
      <c r="AA391" s="17" t="str">
        <f t="shared" si="339"/>
        <v>Thermal  Fault &gt;300c and&lt;700 and &gt;700 c</v>
      </c>
      <c r="AB391" s="17" t="s">
        <v>107</v>
      </c>
      <c r="AC391" s="17" t="str">
        <f t="shared" si="5"/>
        <v>1.841196778</v>
      </c>
      <c r="AD391" s="18" t="str">
        <f t="shared" si="10"/>
        <v>1.5</v>
      </c>
      <c r="AE391" s="17" t="str">
        <f t="shared" si="6"/>
        <v>1.125</v>
      </c>
      <c r="AF391" s="17" t="str">
        <f t="shared" si="11"/>
        <v>0.6666666667</v>
      </c>
      <c r="AG391" s="17" t="str">
        <f t="shared" si="340"/>
        <v>Thermal Decomposition, </v>
      </c>
      <c r="AH391" s="17" t="str">
        <f t="shared" si="326"/>
        <v>Arching</v>
      </c>
      <c r="AI391" s="17" t="str">
        <f t="shared" si="16"/>
        <v>Arching</v>
      </c>
      <c r="AJ391" s="17" t="str">
        <f t="shared" si="235"/>
        <v>Thermal Decomposition,corona </v>
      </c>
    </row>
    <row r="392" ht="12.75" customHeight="1">
      <c r="A392" s="11">
        <v>390.0</v>
      </c>
      <c r="B392" s="14">
        <v>2019455.0</v>
      </c>
      <c r="C392" s="14" t="s">
        <v>78</v>
      </c>
      <c r="D392" s="14" t="s">
        <v>173</v>
      </c>
      <c r="E392" s="14" t="s">
        <v>91</v>
      </c>
      <c r="F392" s="14">
        <v>2008.0</v>
      </c>
      <c r="G392" s="19">
        <v>8.2</v>
      </c>
      <c r="H392" s="16">
        <v>5.904</v>
      </c>
      <c r="I392" s="16">
        <v>16446.248</v>
      </c>
      <c r="J392" s="16">
        <v>64232.64999999999</v>
      </c>
      <c r="K392" s="16">
        <v>61.746</v>
      </c>
      <c r="L392" s="16">
        <v>737.6719999999999</v>
      </c>
      <c r="M392" s="16">
        <v>3.6899999999999995</v>
      </c>
      <c r="N392" s="19">
        <v>9.0</v>
      </c>
      <c r="O392" s="16">
        <v>9.0</v>
      </c>
      <c r="P392" s="19">
        <v>7.0</v>
      </c>
      <c r="Q392" s="17" t="str">
        <f t="shared" si="1"/>
        <v>0.7777777778</v>
      </c>
      <c r="R392" s="17" t="str">
        <f t="shared" si="2"/>
        <v>0.625</v>
      </c>
      <c r="S392" s="17" t="str">
        <f t="shared" si="8"/>
        <v>1</v>
      </c>
      <c r="T392" s="17" t="str">
        <f>IF(Q392&lt;1,"Partial discharge,Low Temprature thermal fault,")</f>
        <v>Partial discharge,Low Temprature thermal fault,</v>
      </c>
      <c r="U392" s="17" t="s">
        <v>31</v>
      </c>
      <c r="V392" s="17" t="s">
        <v>37</v>
      </c>
      <c r="W392" s="17" t="str">
        <f t="shared" si="3"/>
        <v>0.7777777778</v>
      </c>
      <c r="X392" s="17" t="str">
        <f t="shared" si="33"/>
        <v>0.625</v>
      </c>
      <c r="Y392" s="17" t="str">
        <f t="shared" si="9"/>
        <v>1</v>
      </c>
      <c r="Z392" s="17" t="s">
        <v>34</v>
      </c>
      <c r="AA392" s="17" t="s">
        <v>34</v>
      </c>
      <c r="AB392" s="17" t="s">
        <v>107</v>
      </c>
      <c r="AC392" s="17" t="str">
        <f t="shared" si="5"/>
        <v>0.625</v>
      </c>
      <c r="AD392" s="18" t="str">
        <f t="shared" si="10"/>
        <v>0.7777777778</v>
      </c>
      <c r="AE392" s="17" t="str">
        <f t="shared" si="6"/>
        <v>1.89701897</v>
      </c>
      <c r="AF392" s="17" t="str">
        <f t="shared" si="11"/>
        <v>1.285714286</v>
      </c>
      <c r="AG392" s="17" t="s">
        <v>30</v>
      </c>
      <c r="AH392" s="17" t="str">
        <f t="shared" si="326"/>
        <v>Arching</v>
      </c>
      <c r="AI392" s="17" t="str">
        <f t="shared" si="16"/>
        <v>Arching</v>
      </c>
      <c r="AJ392" s="17" t="str">
        <f t="shared" si="235"/>
        <v>Thermal Decomposition,corona </v>
      </c>
    </row>
    <row r="393" ht="12.75" customHeight="1">
      <c r="A393" s="11">
        <v>391.0</v>
      </c>
      <c r="B393" s="14">
        <v>2019003.0</v>
      </c>
      <c r="C393" s="14" t="s">
        <v>99</v>
      </c>
      <c r="D393" s="14" t="s">
        <v>172</v>
      </c>
      <c r="E393" s="14" t="s">
        <v>91</v>
      </c>
      <c r="F393" s="14">
        <v>2007.0</v>
      </c>
      <c r="G393" s="19">
        <v>8.2</v>
      </c>
      <c r="H393" s="16">
        <v>6.97</v>
      </c>
      <c r="I393" s="16">
        <v>15280.699999999999</v>
      </c>
      <c r="J393" s="16">
        <v>64410.09799999999</v>
      </c>
      <c r="K393" s="16">
        <v>110.86399999999999</v>
      </c>
      <c r="L393" s="16">
        <v>1308.3919999999998</v>
      </c>
      <c r="M393" s="16">
        <v>3.1979999999999995</v>
      </c>
      <c r="N393" s="16">
        <v>7.0</v>
      </c>
      <c r="O393" s="16">
        <v>6.0</v>
      </c>
      <c r="P393" s="16">
        <v>6.0</v>
      </c>
      <c r="Q393" s="17" t="str">
        <f t="shared" si="1"/>
        <v>1</v>
      </c>
      <c r="R393" s="17" t="str">
        <f t="shared" si="2"/>
        <v>0.4588235294</v>
      </c>
      <c r="S393" s="17" t="str">
        <f t="shared" si="8"/>
        <v>0.8571428571</v>
      </c>
      <c r="T393" s="17" t="s">
        <v>30</v>
      </c>
      <c r="U393" s="17" t="s">
        <v>31</v>
      </c>
      <c r="V393" s="17" t="str">
        <f>IF(S393&lt;1,"Partial discharge, Normal ",IF(S393&gt;3,"Arching,Thermal  Fault &gt; 700 c"))</f>
        <v>Partial discharge, Normal </v>
      </c>
      <c r="W393" s="17" t="str">
        <f t="shared" si="3"/>
        <v>1</v>
      </c>
      <c r="X393" s="17" t="str">
        <f t="shared" si="33"/>
        <v>0.4588235294</v>
      </c>
      <c r="Y393" s="17" t="str">
        <f t="shared" si="9"/>
        <v>0.8571428571</v>
      </c>
      <c r="Z393" s="17" t="s">
        <v>34</v>
      </c>
      <c r="AA393" s="17" t="s">
        <v>34</v>
      </c>
      <c r="AB393" s="17" t="s">
        <v>107</v>
      </c>
      <c r="AC393" s="17" t="str">
        <f t="shared" si="5"/>
        <v>0.4588235294</v>
      </c>
      <c r="AD393" s="18" t="str">
        <f t="shared" si="10"/>
        <v>1</v>
      </c>
      <c r="AE393" s="17" t="str">
        <f t="shared" si="6"/>
        <v>1.876172608</v>
      </c>
      <c r="AF393" s="17" t="str">
        <f t="shared" si="11"/>
        <v>1.166666667</v>
      </c>
      <c r="AG393" s="17" t="s">
        <v>30</v>
      </c>
      <c r="AH393" s="17" t="str">
        <f t="shared" si="326"/>
        <v>Arching</v>
      </c>
      <c r="AI393" s="17" t="str">
        <f t="shared" si="16"/>
        <v>Arching</v>
      </c>
      <c r="AJ393" s="17" t="str">
        <f t="shared" si="235"/>
        <v>Thermal Decomposition,corona </v>
      </c>
    </row>
    <row r="394" ht="12.75" customHeight="1">
      <c r="A394" s="11">
        <v>392.0</v>
      </c>
      <c r="B394" s="14">
        <v>2019004.0</v>
      </c>
      <c r="C394" s="14" t="s">
        <v>99</v>
      </c>
      <c r="D394" s="14" t="s">
        <v>172</v>
      </c>
      <c r="E394" s="14" t="s">
        <v>91</v>
      </c>
      <c r="F394" s="14">
        <v>2007.0</v>
      </c>
      <c r="G394" s="19">
        <v>7.8</v>
      </c>
      <c r="H394" s="16">
        <v>6.708</v>
      </c>
      <c r="I394" s="16">
        <v>15703.272</v>
      </c>
      <c r="J394" s="16">
        <v>60180.666000000005</v>
      </c>
      <c r="K394" s="16">
        <v>103.11600000000001</v>
      </c>
      <c r="L394" s="16">
        <v>1135.3680000000002</v>
      </c>
      <c r="M394" s="16">
        <v>4.914</v>
      </c>
      <c r="N394" s="16">
        <v>5.0</v>
      </c>
      <c r="O394" s="16">
        <v>9.0</v>
      </c>
      <c r="P394" s="16">
        <v>8.0</v>
      </c>
      <c r="Q394" s="17" t="str">
        <f t="shared" si="1"/>
        <v>0.8888888889</v>
      </c>
      <c r="R394" s="17" t="str">
        <f t="shared" si="2"/>
        <v>0.7325581395</v>
      </c>
      <c r="S394" s="17" t="str">
        <f t="shared" si="8"/>
        <v>1.8</v>
      </c>
      <c r="T394" s="17" t="str">
        <f t="shared" ref="T394:T396" si="341">IF(Q394&lt;1,"Partial discharge,Low Temprature thermal fault,")</f>
        <v>Partial discharge,Low Temprature thermal fault,</v>
      </c>
      <c r="U394" s="17" t="s">
        <v>31</v>
      </c>
      <c r="V394" s="17" t="s">
        <v>37</v>
      </c>
      <c r="W394" s="17" t="str">
        <f t="shared" si="3"/>
        <v>0.8888888889</v>
      </c>
      <c r="X394" s="17" t="str">
        <f t="shared" si="33"/>
        <v>0.7325581395</v>
      </c>
      <c r="Y394" s="17" t="str">
        <f t="shared" si="9"/>
        <v>1.8</v>
      </c>
      <c r="Z394" s="17" t="s">
        <v>34</v>
      </c>
      <c r="AA394" s="17" t="s">
        <v>34</v>
      </c>
      <c r="AB394" s="17" t="str">
        <f>IF(Y394&lt;0.2,"Partial Discharges, ",IF(Y394&gt;1,"Thermal  Fault  &gt;700 c"))</f>
        <v>Thermal  Fault  &gt;700 c</v>
      </c>
      <c r="AC394" s="17" t="str">
        <f t="shared" si="5"/>
        <v>0.7325581395</v>
      </c>
      <c r="AD394" s="18" t="str">
        <f t="shared" si="10"/>
        <v>0.8888888889</v>
      </c>
      <c r="AE394" s="17" t="str">
        <f t="shared" si="6"/>
        <v>1.628001628</v>
      </c>
      <c r="AF394" s="17" t="str">
        <f t="shared" si="11"/>
        <v>0.625</v>
      </c>
      <c r="AG394" s="17" t="s">
        <v>30</v>
      </c>
      <c r="AH394" s="17" t="str">
        <f t="shared" si="326"/>
        <v>Arching</v>
      </c>
      <c r="AI394" s="17" t="str">
        <f t="shared" si="16"/>
        <v>Arching</v>
      </c>
      <c r="AJ394" s="17" t="str">
        <f t="shared" si="235"/>
        <v>Thermal Decomposition,corona </v>
      </c>
    </row>
    <row r="395" ht="12.75" customHeight="1">
      <c r="A395" s="11">
        <v>393.0</v>
      </c>
      <c r="B395" s="22" t="s">
        <v>296</v>
      </c>
      <c r="C395" s="17" t="s">
        <v>294</v>
      </c>
      <c r="D395" s="17" t="s">
        <v>377</v>
      </c>
      <c r="E395" s="17" t="s">
        <v>333</v>
      </c>
      <c r="F395" s="17">
        <v>2005.0</v>
      </c>
      <c r="G395" s="17">
        <v>8.0</v>
      </c>
      <c r="H395" s="16">
        <v>5.92</v>
      </c>
      <c r="I395" s="16">
        <v>15425.2</v>
      </c>
      <c r="J395" s="16">
        <v>62150.72</v>
      </c>
      <c r="K395" s="16">
        <v>98.72</v>
      </c>
      <c r="L395" s="16">
        <v>1340.24</v>
      </c>
      <c r="M395" s="16">
        <v>5.680000000000001</v>
      </c>
      <c r="N395" s="16">
        <v>6.0</v>
      </c>
      <c r="O395" s="16">
        <v>6.0</v>
      </c>
      <c r="P395" s="16">
        <v>3.0</v>
      </c>
      <c r="Q395" s="17" t="str">
        <f t="shared" si="1"/>
        <v>0.5</v>
      </c>
      <c r="R395" s="17" t="str">
        <f t="shared" si="2"/>
        <v>0.9594594595</v>
      </c>
      <c r="S395" s="17" t="str">
        <f t="shared" si="8"/>
        <v>1</v>
      </c>
      <c r="T395" s="17" t="str">
        <f t="shared" si="341"/>
        <v>Partial discharge,Low Temprature thermal fault,</v>
      </c>
      <c r="U395" s="17" t="s">
        <v>31</v>
      </c>
      <c r="V395" s="17" t="s">
        <v>37</v>
      </c>
      <c r="W395" s="17" t="str">
        <f t="shared" si="3"/>
        <v>0.5</v>
      </c>
      <c r="X395" s="17" t="str">
        <f t="shared" si="33"/>
        <v>0.9594594595</v>
      </c>
      <c r="Y395" s="17" t="str">
        <f t="shared" si="9"/>
        <v>1</v>
      </c>
      <c r="Z395" s="17" t="s">
        <v>34</v>
      </c>
      <c r="AA395" s="17" t="s">
        <v>34</v>
      </c>
      <c r="AB395" s="17" t="s">
        <v>107</v>
      </c>
      <c r="AC395" s="17" t="str">
        <f t="shared" si="5"/>
        <v>0.9594594595</v>
      </c>
      <c r="AD395" s="18" t="str">
        <f t="shared" si="10"/>
        <v>0.5</v>
      </c>
      <c r="AE395" s="17" t="str">
        <f t="shared" si="6"/>
        <v>0.5281690141</v>
      </c>
      <c r="AF395" s="17" t="str">
        <f t="shared" si="11"/>
        <v>2</v>
      </c>
      <c r="AG395" s="17" t="s">
        <v>30</v>
      </c>
      <c r="AH395" s="17" t="str">
        <f t="shared" si="326"/>
        <v>Thermal Decomposition, </v>
      </c>
      <c r="AI395" s="17" t="str">
        <f t="shared" si="16"/>
        <v>Arching</v>
      </c>
      <c r="AJ395" s="17" t="str">
        <f t="shared" si="235"/>
        <v>Thermal Decomposition,corona </v>
      </c>
    </row>
    <row r="396" ht="12.75" customHeight="1">
      <c r="A396" s="11">
        <v>394.0</v>
      </c>
      <c r="B396" s="22" t="s">
        <v>202</v>
      </c>
      <c r="C396" s="17" t="s">
        <v>133</v>
      </c>
      <c r="D396" s="17" t="s">
        <v>41</v>
      </c>
      <c r="E396" s="17" t="s">
        <v>179</v>
      </c>
      <c r="F396" s="17">
        <v>2013.0</v>
      </c>
      <c r="G396" s="17">
        <v>8.3</v>
      </c>
      <c r="H396" s="16">
        <v>4.648</v>
      </c>
      <c r="I396" s="16">
        <v>16712.548000000003</v>
      </c>
      <c r="J396" s="16">
        <v>63630.705</v>
      </c>
      <c r="K396" s="16">
        <v>129.314</v>
      </c>
      <c r="L396" s="16">
        <v>1354.9750000000001</v>
      </c>
      <c r="M396" s="16">
        <v>3.237</v>
      </c>
      <c r="N396" s="16">
        <v>8.0</v>
      </c>
      <c r="O396" s="16">
        <v>5.0</v>
      </c>
      <c r="P396" s="16">
        <v>4.0</v>
      </c>
      <c r="Q396" s="17" t="str">
        <f t="shared" si="1"/>
        <v>0.8</v>
      </c>
      <c r="R396" s="17" t="str">
        <f t="shared" si="2"/>
        <v>0.6964285714</v>
      </c>
      <c r="S396" s="17" t="str">
        <f t="shared" si="8"/>
        <v>0.625</v>
      </c>
      <c r="T396" s="17" t="str">
        <f t="shared" si="341"/>
        <v>Partial discharge,Low Temprature thermal fault,</v>
      </c>
      <c r="U396" s="17" t="s">
        <v>31</v>
      </c>
      <c r="V396" s="17" t="str">
        <f t="shared" ref="V396:V398" si="342">IF(S396&lt;1,"Partial discharge, Normal ",IF(S396&gt;3,"Arching,Thermal  Fault &gt; 700 c"))</f>
        <v>Partial discharge, Normal </v>
      </c>
      <c r="W396" s="17" t="str">
        <f t="shared" si="3"/>
        <v>0.8</v>
      </c>
      <c r="X396" s="17" t="str">
        <f t="shared" si="33"/>
        <v>0.6964285714</v>
      </c>
      <c r="Y396" s="17" t="str">
        <f t="shared" si="9"/>
        <v>0.625</v>
      </c>
      <c r="Z396" s="17" t="s">
        <v>34</v>
      </c>
      <c r="AA396" s="17" t="s">
        <v>34</v>
      </c>
      <c r="AB396" s="17" t="s">
        <v>107</v>
      </c>
      <c r="AC396" s="17" t="str">
        <f t="shared" si="5"/>
        <v>0.6964285714</v>
      </c>
      <c r="AD396" s="18" t="str">
        <f t="shared" si="10"/>
        <v>0.8</v>
      </c>
      <c r="AE396" s="17" t="str">
        <f t="shared" si="6"/>
        <v>1.235712079</v>
      </c>
      <c r="AF396" s="17" t="str">
        <f t="shared" si="11"/>
        <v>2</v>
      </c>
      <c r="AG396" s="17" t="s">
        <v>30</v>
      </c>
      <c r="AH396" s="17" t="str">
        <f t="shared" si="326"/>
        <v>Arching</v>
      </c>
      <c r="AI396" s="17" t="str">
        <f t="shared" si="16"/>
        <v>Arching</v>
      </c>
      <c r="AJ396" s="17" t="str">
        <f t="shared" si="235"/>
        <v>Thermal Decomposition,corona </v>
      </c>
    </row>
    <row r="397" ht="12.75" customHeight="1">
      <c r="A397" s="11">
        <v>395.0</v>
      </c>
      <c r="B397" s="17" t="s">
        <v>378</v>
      </c>
      <c r="C397" s="17" t="s">
        <v>40</v>
      </c>
      <c r="D397" s="17" t="s">
        <v>379</v>
      </c>
      <c r="E397" s="17" t="s">
        <v>179</v>
      </c>
      <c r="F397" s="17">
        <v>2010.0</v>
      </c>
      <c r="G397" s="17">
        <v>7.9</v>
      </c>
      <c r="H397" s="16">
        <v>1.8170000000000002</v>
      </c>
      <c r="I397" s="16">
        <v>13439.401000000002</v>
      </c>
      <c r="J397" s="16">
        <v>63936.912000000004</v>
      </c>
      <c r="K397" s="16">
        <v>79.316</v>
      </c>
      <c r="L397" s="16">
        <v>878.875</v>
      </c>
      <c r="M397" s="16">
        <v>8.0</v>
      </c>
      <c r="N397" s="16">
        <v>7.0</v>
      </c>
      <c r="O397" s="16">
        <v>6.0</v>
      </c>
      <c r="P397" s="16">
        <v>7.0</v>
      </c>
      <c r="Q397" s="17" t="str">
        <f t="shared" si="1"/>
        <v>1.166666667</v>
      </c>
      <c r="R397" s="17" t="str">
        <f t="shared" si="2"/>
        <v>4.40286186</v>
      </c>
      <c r="S397" s="17" t="str">
        <f t="shared" si="8"/>
        <v>0.8571428571</v>
      </c>
      <c r="T397" s="17" t="s">
        <v>30</v>
      </c>
      <c r="U397" s="17" t="s">
        <v>31</v>
      </c>
      <c r="V397" s="17" t="str">
        <f t="shared" si="342"/>
        <v>Partial discharge, Normal </v>
      </c>
      <c r="W397" s="17" t="str">
        <f t="shared" si="3"/>
        <v>1.166666667</v>
      </c>
      <c r="X397" s="17" t="str">
        <f t="shared" si="33"/>
        <v>4.40286186</v>
      </c>
      <c r="Y397" s="17" t="str">
        <f t="shared" si="9"/>
        <v>0.8571428571</v>
      </c>
      <c r="Z397" s="17" t="str">
        <f t="shared" ref="Z397:Z400" si="343">IF(W397&gt;1,"Discharge of Low Energy,  ",IF(W397&lt;0.1,"Thermal  Fault&gt; 300c and&lt;700 c"))</f>
        <v>Discharge of Low Energy,  </v>
      </c>
      <c r="AA397" s="17" t="str">
        <f>IF(X397&lt;0.1,"Partial Discharges, ",IF(X397&gt;1,"Thermal  Fault &gt;300c and&lt;700 and &gt;700 c"))</f>
        <v>Thermal  Fault &gt;300c and&lt;700 and &gt;700 c</v>
      </c>
      <c r="AB397" s="17" t="s">
        <v>107</v>
      </c>
      <c r="AC397" s="17" t="str">
        <f t="shared" si="5"/>
        <v>4.40286186</v>
      </c>
      <c r="AD397" s="18" t="str">
        <f t="shared" si="10"/>
        <v>1.166666667</v>
      </c>
      <c r="AE397" s="17" t="str">
        <f t="shared" si="6"/>
        <v>0.875</v>
      </c>
      <c r="AF397" s="17" t="str">
        <f t="shared" si="11"/>
        <v>1</v>
      </c>
      <c r="AG397" s="17" t="str">
        <f>IF(AC397&gt;1,"Thermal Decomposition, ",IF(AC397&lt;0.1,"Corona,Arching"))</f>
        <v>Thermal Decomposition, </v>
      </c>
      <c r="AH397" s="17" t="str">
        <f t="shared" si="326"/>
        <v>Arching</v>
      </c>
      <c r="AI397" s="17" t="str">
        <f t="shared" si="16"/>
        <v>Arching</v>
      </c>
      <c r="AJ397" s="17" t="str">
        <f t="shared" si="235"/>
        <v>Thermal Decomposition,corona </v>
      </c>
    </row>
    <row r="398" ht="12.75" customHeight="1">
      <c r="A398" s="11">
        <v>396.0</v>
      </c>
      <c r="B398" s="13">
        <v>2094.0</v>
      </c>
      <c r="C398" s="13" t="s">
        <v>203</v>
      </c>
      <c r="D398" s="13" t="s">
        <v>380</v>
      </c>
      <c r="E398" s="13" t="s">
        <v>29</v>
      </c>
      <c r="F398" s="13">
        <v>2008.0</v>
      </c>
      <c r="G398" s="19">
        <v>8.1</v>
      </c>
      <c r="H398" s="16">
        <v>6.885000000000001</v>
      </c>
      <c r="I398" s="16">
        <v>15926.948999999999</v>
      </c>
      <c r="J398" s="16">
        <v>63122.08499999999</v>
      </c>
      <c r="K398" s="16">
        <v>117.04499999999997</v>
      </c>
      <c r="L398" s="16">
        <v>1275.3449999999998</v>
      </c>
      <c r="M398" s="16">
        <v>5.508</v>
      </c>
      <c r="N398" s="16">
        <v>6.0</v>
      </c>
      <c r="O398" s="16">
        <v>5.0</v>
      </c>
      <c r="P398" s="16">
        <v>9.0</v>
      </c>
      <c r="Q398" s="17" t="str">
        <f t="shared" si="1"/>
        <v>1.8</v>
      </c>
      <c r="R398" s="17" t="str">
        <f t="shared" si="2"/>
        <v>0.8</v>
      </c>
      <c r="S398" s="17" t="str">
        <f t="shared" si="8"/>
        <v>0.8333333333</v>
      </c>
      <c r="T398" s="17" t="s">
        <v>30</v>
      </c>
      <c r="U398" s="17" t="s">
        <v>31</v>
      </c>
      <c r="V398" s="17" t="str">
        <f t="shared" si="342"/>
        <v>Partial discharge, Normal </v>
      </c>
      <c r="W398" s="17" t="str">
        <f t="shared" si="3"/>
        <v>1.8</v>
      </c>
      <c r="X398" s="17" t="str">
        <f t="shared" si="33"/>
        <v>0.8</v>
      </c>
      <c r="Y398" s="17" t="str">
        <f t="shared" si="9"/>
        <v>0.8333333333</v>
      </c>
      <c r="Z398" s="17" t="str">
        <f t="shared" si="343"/>
        <v>Discharge of Low Energy,  </v>
      </c>
      <c r="AA398" s="17" t="s">
        <v>34</v>
      </c>
      <c r="AB398" s="17" t="s">
        <v>107</v>
      </c>
      <c r="AC398" s="17" t="str">
        <f t="shared" si="5"/>
        <v>0.8</v>
      </c>
      <c r="AD398" s="18" t="str">
        <f t="shared" si="10"/>
        <v>1.8</v>
      </c>
      <c r="AE398" s="17" t="str">
        <f t="shared" si="6"/>
        <v>1.633986928</v>
      </c>
      <c r="AF398" s="17" t="str">
        <f t="shared" si="11"/>
        <v>0.6666666667</v>
      </c>
      <c r="AG398" s="17" t="s">
        <v>30</v>
      </c>
      <c r="AH398" s="17" t="str">
        <f t="shared" si="326"/>
        <v>Arching</v>
      </c>
      <c r="AI398" s="17" t="str">
        <f t="shared" si="16"/>
        <v>Arching</v>
      </c>
      <c r="AJ398" s="17" t="str">
        <f t="shared" si="235"/>
        <v>Thermal Decomposition,corona </v>
      </c>
    </row>
    <row r="399" ht="12.75" customHeight="1">
      <c r="A399" s="11">
        <v>397.0</v>
      </c>
      <c r="B399" s="13" t="s">
        <v>381</v>
      </c>
      <c r="C399" s="13" t="s">
        <v>147</v>
      </c>
      <c r="D399" s="13" t="s">
        <v>148</v>
      </c>
      <c r="E399" s="26" t="s">
        <v>67</v>
      </c>
      <c r="F399" s="26" t="s">
        <v>67</v>
      </c>
      <c r="G399" s="14">
        <v>8.5</v>
      </c>
      <c r="H399" s="15">
        <v>4.0</v>
      </c>
      <c r="I399" s="15">
        <v>15341.819999999998</v>
      </c>
      <c r="J399" s="15">
        <v>68040.12</v>
      </c>
      <c r="K399" s="15">
        <v>71.485</v>
      </c>
      <c r="L399" s="15">
        <v>829.09</v>
      </c>
      <c r="M399" s="15">
        <v>8.0</v>
      </c>
      <c r="N399" s="15">
        <v>7.0</v>
      </c>
      <c r="O399" s="15">
        <v>7.0</v>
      </c>
      <c r="P399" s="15">
        <v>9.0</v>
      </c>
      <c r="Q399" s="17" t="str">
        <f t="shared" si="1"/>
        <v>1.285714286</v>
      </c>
      <c r="R399" s="17" t="str">
        <f t="shared" si="2"/>
        <v>2</v>
      </c>
      <c r="S399" s="17" t="str">
        <f t="shared" si="8"/>
        <v>1</v>
      </c>
      <c r="T399" s="17" t="s">
        <v>30</v>
      </c>
      <c r="U399" s="17" t="s">
        <v>30</v>
      </c>
      <c r="V399" s="17" t="s">
        <v>37</v>
      </c>
      <c r="W399" s="17" t="str">
        <f t="shared" si="3"/>
        <v>1.285714286</v>
      </c>
      <c r="X399" s="17" t="str">
        <f t="shared" si="33"/>
        <v>2</v>
      </c>
      <c r="Y399" s="17" t="str">
        <f t="shared" si="9"/>
        <v>1</v>
      </c>
      <c r="Z399" s="17" t="str">
        <f t="shared" si="343"/>
        <v>Discharge of Low Energy,  </v>
      </c>
      <c r="AA399" s="17" t="str">
        <f t="shared" ref="AA399:AA403" si="344">IF(X399&lt;0.1,"Partial Discharges, ",IF(X399&gt;1,"Thermal  Fault &gt;300c and&lt;700 and &gt;700 c"))</f>
        <v>Thermal  Fault &gt;300c and&lt;700 and &gt;700 c</v>
      </c>
      <c r="AB399" s="17" t="s">
        <v>107</v>
      </c>
      <c r="AC399" s="17" t="str">
        <f t="shared" si="5"/>
        <v>2</v>
      </c>
      <c r="AD399" s="18" t="str">
        <f t="shared" si="10"/>
        <v>1.285714286</v>
      </c>
      <c r="AE399" s="17" t="str">
        <f t="shared" si="6"/>
        <v>1.125</v>
      </c>
      <c r="AF399" s="17" t="str">
        <f t="shared" si="11"/>
        <v>0.7777777778</v>
      </c>
      <c r="AG399" s="17" t="str">
        <f t="shared" ref="AG399:AG403" si="345">IF(AC399&gt;1,"Thermal Decomposition, ",IF(AC399&lt;0.1,"Corona,Arching"))</f>
        <v>Thermal Decomposition, </v>
      </c>
      <c r="AH399" s="17" t="str">
        <f t="shared" si="326"/>
        <v>Arching</v>
      </c>
      <c r="AI399" s="17" t="str">
        <f t="shared" si="16"/>
        <v>Arching</v>
      </c>
      <c r="AJ399" s="17" t="str">
        <f t="shared" si="235"/>
        <v>Thermal Decomposition,corona </v>
      </c>
    </row>
    <row r="400" ht="12.75" customHeight="1">
      <c r="A400" s="11">
        <v>398.0</v>
      </c>
      <c r="B400" s="19" t="s">
        <v>162</v>
      </c>
      <c r="C400" s="19" t="s">
        <v>147</v>
      </c>
      <c r="D400" s="19" t="s">
        <v>148</v>
      </c>
      <c r="E400" s="19" t="s">
        <v>149</v>
      </c>
      <c r="F400" s="19">
        <v>2011.0</v>
      </c>
      <c r="G400" s="17">
        <v>8.1</v>
      </c>
      <c r="H400" s="16">
        <v>4.454999999999999</v>
      </c>
      <c r="I400" s="16">
        <v>16069.023</v>
      </c>
      <c r="J400" s="16">
        <v>63258.003</v>
      </c>
      <c r="K400" s="16">
        <v>104.81399999999998</v>
      </c>
      <c r="L400" s="16">
        <v>1112.373</v>
      </c>
      <c r="M400" s="16">
        <v>5.103</v>
      </c>
      <c r="N400" s="16">
        <v>9.0</v>
      </c>
      <c r="O400" s="16">
        <v>4.0</v>
      </c>
      <c r="P400" s="16">
        <v>8.0</v>
      </c>
      <c r="Q400" s="17" t="str">
        <f t="shared" si="1"/>
        <v>2</v>
      </c>
      <c r="R400" s="17" t="str">
        <f t="shared" si="2"/>
        <v>1.145454545</v>
      </c>
      <c r="S400" s="17" t="str">
        <f t="shared" si="8"/>
        <v>0.4444444444</v>
      </c>
      <c r="T400" s="17" t="s">
        <v>30</v>
      </c>
      <c r="U400" s="17" t="str">
        <f t="shared" ref="U400:U403" si="346">IF(R400&gt;1,"Thermal Fault &lt;700c, thermal fault &gt;700c ")</f>
        <v>Thermal Fault &lt;700c, thermal fault &gt;700c </v>
      </c>
      <c r="V400" s="17" t="str">
        <f t="shared" ref="V400:V401" si="347">IF(S400&lt;1,"Partial discharge, Normal ",IF(S400&gt;3,"Arching,Thermal  Fault &gt; 700 c"))</f>
        <v>Partial discharge, Normal </v>
      </c>
      <c r="W400" s="17" t="str">
        <f t="shared" si="3"/>
        <v>2</v>
      </c>
      <c r="X400" s="17" t="str">
        <f t="shared" si="33"/>
        <v>1.145454545</v>
      </c>
      <c r="Y400" s="17" t="str">
        <f t="shared" si="9"/>
        <v>0.4444444444</v>
      </c>
      <c r="Z400" s="17" t="str">
        <f t="shared" si="343"/>
        <v>Discharge of Low Energy,  </v>
      </c>
      <c r="AA400" s="17" t="str">
        <f t="shared" si="344"/>
        <v>Thermal  Fault &gt;300c and&lt;700 and &gt;700 c</v>
      </c>
      <c r="AB400" s="17" t="s">
        <v>107</v>
      </c>
      <c r="AC400" s="17" t="str">
        <f t="shared" si="5"/>
        <v>1.145454545</v>
      </c>
      <c r="AD400" s="18" t="str">
        <f t="shared" si="10"/>
        <v>2</v>
      </c>
      <c r="AE400" s="17" t="str">
        <f t="shared" si="6"/>
        <v>1.567705271</v>
      </c>
      <c r="AF400" s="17" t="str">
        <f t="shared" si="11"/>
        <v>1.125</v>
      </c>
      <c r="AG400" s="17" t="str">
        <f t="shared" si="345"/>
        <v>Thermal Decomposition, </v>
      </c>
      <c r="AH400" s="17" t="str">
        <f t="shared" si="326"/>
        <v>Arching</v>
      </c>
      <c r="AI400" s="17" t="str">
        <f t="shared" si="16"/>
        <v>Arching</v>
      </c>
      <c r="AJ400" s="17" t="str">
        <f t="shared" si="235"/>
        <v>Thermal Decomposition,corona </v>
      </c>
    </row>
    <row r="401" ht="12.75" customHeight="1">
      <c r="A401" s="11">
        <v>399.0</v>
      </c>
      <c r="B401" s="19" t="s">
        <v>163</v>
      </c>
      <c r="C401" s="19" t="s">
        <v>147</v>
      </c>
      <c r="D401" s="19" t="s">
        <v>148</v>
      </c>
      <c r="E401" s="19" t="s">
        <v>358</v>
      </c>
      <c r="F401" s="19">
        <v>2012.0</v>
      </c>
      <c r="G401" s="17">
        <v>8.1</v>
      </c>
      <c r="H401" s="16">
        <v>452.70899999999995</v>
      </c>
      <c r="I401" s="16">
        <v>11598.875999999998</v>
      </c>
      <c r="J401" s="16">
        <v>57676.293</v>
      </c>
      <c r="K401" s="16">
        <v>160.13699999999997</v>
      </c>
      <c r="L401" s="16">
        <v>1726.596</v>
      </c>
      <c r="M401" s="16">
        <v>2750.598</v>
      </c>
      <c r="N401" s="16">
        <v>323.352</v>
      </c>
      <c r="O401" s="16">
        <v>3176.739</v>
      </c>
      <c r="P401" s="16">
        <v>2051.487</v>
      </c>
      <c r="Q401" s="17" t="str">
        <f t="shared" si="1"/>
        <v>0.6457839313</v>
      </c>
      <c r="R401" s="17" t="str">
        <f t="shared" si="2"/>
        <v>6.075863303</v>
      </c>
      <c r="S401" s="17" t="str">
        <f t="shared" si="8"/>
        <v>9.824398798</v>
      </c>
      <c r="T401" s="17" t="str">
        <f>IF(Q401&lt;1,"Partial discharge,Low Temprature thermal fault,")</f>
        <v>Partial discharge,Low Temprature thermal fault,</v>
      </c>
      <c r="U401" s="17" t="str">
        <f t="shared" si="346"/>
        <v>Thermal Fault &lt;700c, thermal fault &gt;700c </v>
      </c>
      <c r="V401" s="17" t="str">
        <f t="shared" si="347"/>
        <v>Arching,Thermal  Fault &gt; 700 c</v>
      </c>
      <c r="W401" s="17" t="str">
        <f t="shared" si="3"/>
        <v>0.6457839313</v>
      </c>
      <c r="X401" s="17" t="str">
        <f t="shared" si="33"/>
        <v>6.075863303</v>
      </c>
      <c r="Y401" s="17" t="str">
        <f t="shared" si="9"/>
        <v>9.824398798</v>
      </c>
      <c r="Z401" s="17" t="s">
        <v>278</v>
      </c>
      <c r="AA401" s="17" t="str">
        <f t="shared" si="344"/>
        <v>Thermal  Fault &gt;300c and&lt;700 and &gt;700 c</v>
      </c>
      <c r="AB401" s="17" t="str">
        <f t="shared" ref="AB401:AB402" si="348">IF(Y401&lt;0.2,"Partial Discharges, ",IF(Y401&gt;1,"Thermal  Fault  &gt;700 c"))</f>
        <v>Thermal  Fault  &gt;700 c</v>
      </c>
      <c r="AC401" s="17" t="str">
        <f t="shared" si="5"/>
        <v>6.075863303</v>
      </c>
      <c r="AD401" s="18" t="str">
        <f t="shared" si="10"/>
        <v>0.6457839313</v>
      </c>
      <c r="AE401" s="17" t="str">
        <f t="shared" si="6"/>
        <v>0.7458330879</v>
      </c>
      <c r="AF401" s="17" t="str">
        <f t="shared" si="11"/>
        <v>0.157618352</v>
      </c>
      <c r="AG401" s="17" t="str">
        <f t="shared" si="345"/>
        <v>Thermal Decomposition, </v>
      </c>
      <c r="AH401" s="17" t="str">
        <f t="shared" si="326"/>
        <v>Thermal Decomposition, </v>
      </c>
      <c r="AI401" s="17" t="str">
        <f t="shared" si="16"/>
        <v>Arching</v>
      </c>
      <c r="AJ401" s="17" t="str">
        <f t="shared" si="235"/>
        <v>Arching</v>
      </c>
    </row>
    <row r="402" ht="12.75" customHeight="1">
      <c r="A402" s="11">
        <v>400.0</v>
      </c>
      <c r="B402" s="30" t="s">
        <v>244</v>
      </c>
      <c r="C402" s="19" t="s">
        <v>89</v>
      </c>
      <c r="D402" s="19" t="s">
        <v>382</v>
      </c>
      <c r="E402" s="17" t="s">
        <v>179</v>
      </c>
      <c r="F402" s="17">
        <v>2010.0</v>
      </c>
      <c r="G402" s="25">
        <v>8.0</v>
      </c>
      <c r="H402" s="16">
        <v>4.16</v>
      </c>
      <c r="I402" s="16">
        <v>15336.48</v>
      </c>
      <c r="J402" s="16">
        <v>62380.880000000005</v>
      </c>
      <c r="K402" s="16">
        <v>126.96000000000001</v>
      </c>
      <c r="L402" s="16">
        <v>1403.6799999999998</v>
      </c>
      <c r="M402" s="16">
        <v>33.92</v>
      </c>
      <c r="N402" s="16">
        <v>9.84</v>
      </c>
      <c r="O402" s="16">
        <v>23.919999999999998</v>
      </c>
      <c r="P402" s="16">
        <v>33.0</v>
      </c>
      <c r="Q402" s="17" t="str">
        <f t="shared" si="1"/>
        <v>1.379598662</v>
      </c>
      <c r="R402" s="17" t="str">
        <f t="shared" si="2"/>
        <v>8.153846154</v>
      </c>
      <c r="S402" s="17" t="str">
        <f t="shared" si="8"/>
        <v>2.430894309</v>
      </c>
      <c r="T402" s="17" t="s">
        <v>30</v>
      </c>
      <c r="U402" s="17" t="str">
        <f t="shared" si="346"/>
        <v>Thermal Fault &lt;700c, thermal fault &gt;700c </v>
      </c>
      <c r="V402" s="17" t="s">
        <v>37</v>
      </c>
      <c r="W402" s="17" t="str">
        <f t="shared" si="3"/>
        <v>1.379598662</v>
      </c>
      <c r="X402" s="17" t="str">
        <f t="shared" si="33"/>
        <v>8.153846154</v>
      </c>
      <c r="Y402" s="17" t="str">
        <f t="shared" si="9"/>
        <v>2.430894309</v>
      </c>
      <c r="Z402" s="17" t="str">
        <f t="shared" ref="Z402:Z403" si="349">IF(W402&gt;1,"Discharge of Low Energy,  ",IF(W402&lt;0.1,"Thermal  Fault&gt; 300c and&lt;700 c"))</f>
        <v>Discharge of Low Energy,  </v>
      </c>
      <c r="AA402" s="17" t="str">
        <f t="shared" si="344"/>
        <v>Thermal  Fault &gt;300c and&lt;700 and &gt;700 c</v>
      </c>
      <c r="AB402" s="17" t="str">
        <f t="shared" si="348"/>
        <v>Thermal  Fault  &gt;700 c</v>
      </c>
      <c r="AC402" s="17" t="str">
        <f t="shared" si="5"/>
        <v>8.153846154</v>
      </c>
      <c r="AD402" s="18" t="str">
        <f t="shared" si="10"/>
        <v>1.379598662</v>
      </c>
      <c r="AE402" s="17" t="str">
        <f t="shared" si="6"/>
        <v>0.9728773585</v>
      </c>
      <c r="AF402" s="17" t="str">
        <f t="shared" si="11"/>
        <v>0.2981818182</v>
      </c>
      <c r="AG402" s="17" t="str">
        <f t="shared" si="345"/>
        <v>Thermal Decomposition, </v>
      </c>
      <c r="AH402" s="17" t="str">
        <f t="shared" si="326"/>
        <v>Arching</v>
      </c>
      <c r="AI402" s="17" t="str">
        <f t="shared" si="16"/>
        <v>Arching</v>
      </c>
      <c r="AJ402" s="17" t="str">
        <f t="shared" si="235"/>
        <v>Arching</v>
      </c>
    </row>
    <row r="403" ht="12.75" customHeight="1">
      <c r="A403" s="11">
        <v>401.0</v>
      </c>
      <c r="B403" s="21">
        <v>6005784.0</v>
      </c>
      <c r="C403" s="21" t="s">
        <v>174</v>
      </c>
      <c r="D403" s="21" t="s">
        <v>383</v>
      </c>
      <c r="E403" s="21" t="s">
        <v>91</v>
      </c>
      <c r="F403" s="21">
        <v>1999.0</v>
      </c>
      <c r="G403" s="25">
        <v>7.2</v>
      </c>
      <c r="H403" s="16">
        <v>6.984</v>
      </c>
      <c r="I403" s="16">
        <v>13575.888</v>
      </c>
      <c r="J403" s="16">
        <v>56319.12000000001</v>
      </c>
      <c r="K403" s="16">
        <v>135.0</v>
      </c>
      <c r="L403" s="16">
        <v>1423.44</v>
      </c>
      <c r="M403" s="16">
        <v>8.495999999999999</v>
      </c>
      <c r="N403" s="16">
        <v>3.6000000000000005</v>
      </c>
      <c r="O403" s="16">
        <v>2.52</v>
      </c>
      <c r="P403" s="16">
        <v>23.0</v>
      </c>
      <c r="Q403" s="17" t="str">
        <f t="shared" si="1"/>
        <v>9.126984127</v>
      </c>
      <c r="R403" s="17" t="str">
        <f t="shared" si="2"/>
        <v>1.216494845</v>
      </c>
      <c r="S403" s="17" t="str">
        <f t="shared" si="8"/>
        <v>0.7</v>
      </c>
      <c r="T403" s="17" t="s">
        <v>30</v>
      </c>
      <c r="U403" s="17" t="str">
        <f t="shared" si="346"/>
        <v>Thermal Fault &lt;700c, thermal fault &gt;700c </v>
      </c>
      <c r="V403" s="17" t="str">
        <f t="shared" ref="V403:V404" si="350">IF(S403&lt;1,"Partial discharge, Normal ",IF(S403&gt;3,"Arching,Thermal  Fault &gt; 700 c"))</f>
        <v>Partial discharge, Normal </v>
      </c>
      <c r="W403" s="17" t="str">
        <f t="shared" si="3"/>
        <v>9.126984127</v>
      </c>
      <c r="X403" s="17" t="str">
        <f t="shared" si="33"/>
        <v>1.216494845</v>
      </c>
      <c r="Y403" s="17" t="str">
        <f t="shared" si="9"/>
        <v>0.7</v>
      </c>
      <c r="Z403" s="17" t="str">
        <f t="shared" si="349"/>
        <v>Discharge of Low Energy,  </v>
      </c>
      <c r="AA403" s="17" t="str">
        <f t="shared" si="344"/>
        <v>Thermal  Fault &gt;300c and&lt;700 and &gt;700 c</v>
      </c>
      <c r="AB403" s="17" t="s">
        <v>107</v>
      </c>
      <c r="AC403" s="17" t="str">
        <f t="shared" si="5"/>
        <v>1.216494845</v>
      </c>
      <c r="AD403" s="18" t="str">
        <f t="shared" si="10"/>
        <v>9.126984127</v>
      </c>
      <c r="AE403" s="17" t="str">
        <f t="shared" si="6"/>
        <v>2.707156309</v>
      </c>
      <c r="AF403" s="17" t="str">
        <f t="shared" si="11"/>
        <v>0.1565217391</v>
      </c>
      <c r="AG403" s="17" t="str">
        <f t="shared" si="345"/>
        <v>Thermal Decomposition, </v>
      </c>
      <c r="AH403" s="17" t="str">
        <f t="shared" si="326"/>
        <v>Arching</v>
      </c>
      <c r="AI403" s="17" t="str">
        <f t="shared" si="16"/>
        <v>Arching</v>
      </c>
      <c r="AJ403" s="17" t="str">
        <f t="shared" si="235"/>
        <v>Arching</v>
      </c>
    </row>
    <row r="404" ht="12.75" customHeight="1">
      <c r="A404" s="11">
        <v>402.0</v>
      </c>
      <c r="B404" s="21">
        <v>6005784.0</v>
      </c>
      <c r="C404" s="21" t="s">
        <v>174</v>
      </c>
      <c r="D404" s="21" t="s">
        <v>383</v>
      </c>
      <c r="E404" s="21" t="s">
        <v>91</v>
      </c>
      <c r="F404" s="21">
        <v>1999.0</v>
      </c>
      <c r="G404" s="17">
        <v>7.9</v>
      </c>
      <c r="H404" s="16">
        <v>26.623</v>
      </c>
      <c r="I404" s="16">
        <v>15958.869</v>
      </c>
      <c r="J404" s="16">
        <v>60216.486</v>
      </c>
      <c r="K404" s="16">
        <v>156.578</v>
      </c>
      <c r="L404" s="16">
        <v>1781.4499999999998</v>
      </c>
      <c r="M404" s="16">
        <v>6.636</v>
      </c>
      <c r="N404" s="16">
        <v>11.455000000000002</v>
      </c>
      <c r="O404" s="16">
        <v>7.189000000000001</v>
      </c>
      <c r="P404" s="16">
        <v>7.0</v>
      </c>
      <c r="Q404" s="17" t="str">
        <f t="shared" si="1"/>
        <v>0.9737098345</v>
      </c>
      <c r="R404" s="17" t="str">
        <f t="shared" si="2"/>
        <v>0.2492581602</v>
      </c>
      <c r="S404" s="17" t="str">
        <f t="shared" si="8"/>
        <v>0.6275862069</v>
      </c>
      <c r="T404" s="17" t="str">
        <f t="shared" ref="T404:T405" si="351">IF(Q404&lt;1,"Partial discharge,Low Temprature thermal fault,")</f>
        <v>Partial discharge,Low Temprature thermal fault,</v>
      </c>
      <c r="U404" s="17" t="s">
        <v>31</v>
      </c>
      <c r="V404" s="17" t="str">
        <f t="shared" si="350"/>
        <v>Partial discharge, Normal </v>
      </c>
      <c r="W404" s="17" t="str">
        <f t="shared" si="3"/>
        <v>0.9737098345</v>
      </c>
      <c r="X404" s="17" t="str">
        <f t="shared" si="33"/>
        <v>0.2492581602</v>
      </c>
      <c r="Y404" s="17" t="str">
        <f t="shared" si="9"/>
        <v>0.6275862069</v>
      </c>
      <c r="Z404" s="17" t="s">
        <v>34</v>
      </c>
      <c r="AA404" s="17" t="s">
        <v>34</v>
      </c>
      <c r="AB404" s="17" t="s">
        <v>107</v>
      </c>
      <c r="AC404" s="17" t="str">
        <f t="shared" si="5"/>
        <v>0.2492581602</v>
      </c>
      <c r="AD404" s="18" t="str">
        <f t="shared" si="10"/>
        <v>0.9737098345</v>
      </c>
      <c r="AE404" s="17" t="str">
        <f t="shared" si="6"/>
        <v>1.054852321</v>
      </c>
      <c r="AF404" s="17" t="str">
        <f t="shared" si="11"/>
        <v>1.636428571</v>
      </c>
      <c r="AG404" s="17" t="s">
        <v>30</v>
      </c>
      <c r="AH404" s="17" t="str">
        <f t="shared" si="326"/>
        <v>Arching</v>
      </c>
      <c r="AI404" s="17" t="str">
        <f t="shared" si="16"/>
        <v>Arching</v>
      </c>
      <c r="AJ404" s="17" t="str">
        <f t="shared" si="235"/>
        <v>Thermal Decomposition,corona </v>
      </c>
    </row>
    <row r="405" ht="12.75" customHeight="1">
      <c r="A405" s="11">
        <v>403.0</v>
      </c>
      <c r="B405" s="21">
        <v>6005784.0</v>
      </c>
      <c r="C405" s="21" t="s">
        <v>174</v>
      </c>
      <c r="D405" s="21" t="s">
        <v>383</v>
      </c>
      <c r="E405" s="21" t="s">
        <v>91</v>
      </c>
      <c r="F405" s="21">
        <v>1999.0</v>
      </c>
      <c r="G405" s="17">
        <v>7.7</v>
      </c>
      <c r="H405" s="16">
        <v>8.547</v>
      </c>
      <c r="I405" s="16">
        <v>15074.521</v>
      </c>
      <c r="J405" s="16">
        <v>59229.709</v>
      </c>
      <c r="K405" s="16">
        <v>132.594</v>
      </c>
      <c r="L405" s="16">
        <v>1479.94</v>
      </c>
      <c r="M405" s="16">
        <v>9.317</v>
      </c>
      <c r="N405" s="16">
        <v>7.469</v>
      </c>
      <c r="O405" s="16">
        <v>11.396</v>
      </c>
      <c r="P405" s="16">
        <v>9.0</v>
      </c>
      <c r="Q405" s="17" t="str">
        <f t="shared" si="1"/>
        <v>0.7897507898</v>
      </c>
      <c r="R405" s="17" t="str">
        <f t="shared" si="2"/>
        <v>1.09009009</v>
      </c>
      <c r="S405" s="17" t="str">
        <f t="shared" si="8"/>
        <v>1.525773196</v>
      </c>
      <c r="T405" s="17" t="str">
        <f t="shared" si="351"/>
        <v>Partial discharge,Low Temprature thermal fault,</v>
      </c>
      <c r="U405" s="17" t="str">
        <f>IF(R405&gt;1,"Thermal Fault &lt;700c, thermal fault &gt;700c ")</f>
        <v>Thermal Fault &lt;700c, thermal fault &gt;700c </v>
      </c>
      <c r="V405" s="17" t="s">
        <v>37</v>
      </c>
      <c r="W405" s="17" t="str">
        <f t="shared" si="3"/>
        <v>0.7897507898</v>
      </c>
      <c r="X405" s="17" t="str">
        <f t="shared" si="33"/>
        <v>1.09009009</v>
      </c>
      <c r="Y405" s="17" t="str">
        <f t="shared" si="9"/>
        <v>1.525773196</v>
      </c>
      <c r="Z405" s="17" t="s">
        <v>34</v>
      </c>
      <c r="AA405" s="17" t="str">
        <f>IF(X405&lt;0.1,"Partial Discharges, ",IF(X405&gt;1,"Thermal  Fault &gt;300c and&lt;700 and &gt;700 c"))</f>
        <v>Thermal  Fault &gt;300c and&lt;700 and &gt;700 c</v>
      </c>
      <c r="AB405" s="17" t="str">
        <f>IF(Y405&lt;0.2,"Partial Discharges, ",IF(Y405&gt;1,"Thermal  Fault  &gt;700 c"))</f>
        <v>Thermal  Fault  &gt;700 c</v>
      </c>
      <c r="AC405" s="17" t="str">
        <f t="shared" si="5"/>
        <v>1.09009009</v>
      </c>
      <c r="AD405" s="18" t="str">
        <f t="shared" si="10"/>
        <v>0.7897507898</v>
      </c>
      <c r="AE405" s="17" t="str">
        <f t="shared" si="6"/>
        <v>0.9659761726</v>
      </c>
      <c r="AF405" s="17" t="str">
        <f t="shared" si="11"/>
        <v>0.8298888889</v>
      </c>
      <c r="AG405" s="17" t="str">
        <f>IF(AC405&gt;1,"Thermal Decomposition, ",IF(AC405&lt;0.1,"Corona,Arching"))</f>
        <v>Thermal Decomposition, </v>
      </c>
      <c r="AH405" s="17" t="str">
        <f t="shared" si="326"/>
        <v>Arching</v>
      </c>
      <c r="AI405" s="17" t="str">
        <f t="shared" si="16"/>
        <v>Arching</v>
      </c>
      <c r="AJ405" s="17" t="str">
        <f t="shared" si="235"/>
        <v>Thermal Decomposition,corona </v>
      </c>
    </row>
    <row r="406" ht="12.75" customHeight="1">
      <c r="A406" s="11">
        <v>404.0</v>
      </c>
      <c r="B406" s="21">
        <v>6005784.0</v>
      </c>
      <c r="C406" s="21" t="s">
        <v>174</v>
      </c>
      <c r="D406" s="21" t="s">
        <v>383</v>
      </c>
      <c r="E406" s="21" t="s">
        <v>91</v>
      </c>
      <c r="F406" s="21">
        <v>1999.0</v>
      </c>
      <c r="G406" s="17">
        <v>7.2</v>
      </c>
      <c r="H406" s="16">
        <v>15.624000000000002</v>
      </c>
      <c r="I406" s="16">
        <v>11656.296</v>
      </c>
      <c r="J406" s="16">
        <v>57702.456000000006</v>
      </c>
      <c r="K406" s="16">
        <v>129.024</v>
      </c>
      <c r="L406" s="16">
        <v>1534.4640000000002</v>
      </c>
      <c r="M406" s="16">
        <v>9.576</v>
      </c>
      <c r="N406" s="16">
        <v>8.136000000000001</v>
      </c>
      <c r="O406" s="16">
        <v>5.832</v>
      </c>
      <c r="P406" s="16">
        <v>7.0</v>
      </c>
      <c r="Q406" s="17" t="str">
        <f t="shared" si="1"/>
        <v>1.200274348</v>
      </c>
      <c r="R406" s="17" t="str">
        <f t="shared" si="2"/>
        <v>0.6129032258</v>
      </c>
      <c r="S406" s="17" t="str">
        <f t="shared" si="8"/>
        <v>0.7168141593</v>
      </c>
      <c r="T406" s="17" t="s">
        <v>30</v>
      </c>
      <c r="U406" s="17" t="s">
        <v>31</v>
      </c>
      <c r="V406" s="17" t="str">
        <f t="shared" ref="V406:V414" si="352">IF(S406&lt;1,"Partial discharge, Normal ",IF(S406&gt;3,"Arching,Thermal  Fault &gt; 700 c"))</f>
        <v>Partial discharge, Normal </v>
      </c>
      <c r="W406" s="17" t="str">
        <f t="shared" si="3"/>
        <v>1.200274348</v>
      </c>
      <c r="X406" s="17" t="str">
        <f t="shared" si="33"/>
        <v>0.6129032258</v>
      </c>
      <c r="Y406" s="17" t="str">
        <f t="shared" si="9"/>
        <v>0.7168141593</v>
      </c>
      <c r="Z406" s="17" t="str">
        <f>IF(W406&gt;1,"Discharge of Low Energy,  ",IF(W406&lt;0.1,"Thermal  Fault&gt; 300c and&lt;700 c"))</f>
        <v>Discharge of Low Energy,  </v>
      </c>
      <c r="AA406" s="17" t="s">
        <v>34</v>
      </c>
      <c r="AB406" s="17" t="s">
        <v>107</v>
      </c>
      <c r="AC406" s="17" t="str">
        <f t="shared" si="5"/>
        <v>0.6129032258</v>
      </c>
      <c r="AD406" s="18" t="str">
        <f t="shared" si="10"/>
        <v>1.200274348</v>
      </c>
      <c r="AE406" s="17" t="str">
        <f t="shared" si="6"/>
        <v>0.730994152</v>
      </c>
      <c r="AF406" s="17" t="str">
        <f t="shared" si="11"/>
        <v>1.162285714</v>
      </c>
      <c r="AG406" s="17" t="s">
        <v>30</v>
      </c>
      <c r="AH406" s="17" t="str">
        <f t="shared" si="326"/>
        <v>Arching</v>
      </c>
      <c r="AI406" s="17" t="str">
        <f t="shared" si="16"/>
        <v>Arching</v>
      </c>
      <c r="AJ406" s="17" t="str">
        <f t="shared" si="235"/>
        <v>Thermal Decomposition,corona </v>
      </c>
    </row>
    <row r="407" ht="12.75" customHeight="1">
      <c r="A407" s="11">
        <v>405.0</v>
      </c>
      <c r="B407" s="21">
        <v>6005785.0</v>
      </c>
      <c r="C407" s="21" t="s">
        <v>174</v>
      </c>
      <c r="D407" s="21" t="s">
        <v>383</v>
      </c>
      <c r="E407" s="21" t="s">
        <v>91</v>
      </c>
      <c r="F407" s="21">
        <v>1999.0</v>
      </c>
      <c r="G407" s="17">
        <v>7.0</v>
      </c>
      <c r="H407" s="16">
        <v>5.319999999999999</v>
      </c>
      <c r="I407" s="16">
        <v>13231.61</v>
      </c>
      <c r="J407" s="16">
        <v>54236.14</v>
      </c>
      <c r="K407" s="16">
        <v>144.62</v>
      </c>
      <c r="L407" s="16">
        <v>1627.9199999999998</v>
      </c>
      <c r="M407" s="16">
        <v>6.65</v>
      </c>
      <c r="N407" s="16">
        <v>9.0</v>
      </c>
      <c r="O407" s="16">
        <v>3.5700000000000003</v>
      </c>
      <c r="P407" s="16">
        <v>2.0</v>
      </c>
      <c r="Q407" s="17" t="str">
        <f t="shared" si="1"/>
        <v>0.5602240896</v>
      </c>
      <c r="R407" s="17" t="str">
        <f t="shared" si="2"/>
        <v>1.25</v>
      </c>
      <c r="S407" s="17" t="str">
        <f t="shared" si="8"/>
        <v>0.3966666667</v>
      </c>
      <c r="T407" s="17" t="str">
        <f>IF(Q407&lt;1,"Partial discharge,Low Temprature thermal fault,")</f>
        <v>Partial discharge,Low Temprature thermal fault,</v>
      </c>
      <c r="U407" s="17" t="str">
        <f>IF(R407&gt;1,"Thermal Fault &lt;700c, thermal fault &gt;700c ")</f>
        <v>Thermal Fault &lt;700c, thermal fault &gt;700c </v>
      </c>
      <c r="V407" s="17" t="str">
        <f t="shared" si="352"/>
        <v>Partial discharge, Normal </v>
      </c>
      <c r="W407" s="17" t="str">
        <f t="shared" si="3"/>
        <v>0.5602240896</v>
      </c>
      <c r="X407" s="17" t="str">
        <f t="shared" si="33"/>
        <v>1.25</v>
      </c>
      <c r="Y407" s="17" t="str">
        <f t="shared" si="9"/>
        <v>0.3966666667</v>
      </c>
      <c r="Z407" s="17" t="s">
        <v>34</v>
      </c>
      <c r="AA407" s="17" t="str">
        <f>IF(X407&lt;0.1,"Partial Discharges, ",IF(X407&gt;1,"Thermal  Fault &gt;300c and&lt;700 and &gt;700 c"))</f>
        <v>Thermal  Fault &gt;300c and&lt;700 and &gt;700 c</v>
      </c>
      <c r="AB407" s="17" t="s">
        <v>107</v>
      </c>
      <c r="AC407" s="17" t="str">
        <f t="shared" si="5"/>
        <v>1.25</v>
      </c>
      <c r="AD407" s="18" t="str">
        <f t="shared" si="10"/>
        <v>0.5602240896</v>
      </c>
      <c r="AE407" s="17" t="str">
        <f t="shared" si="6"/>
        <v>0.3007518797</v>
      </c>
      <c r="AF407" s="17" t="str">
        <f t="shared" si="11"/>
        <v>4.5</v>
      </c>
      <c r="AG407" s="17" t="str">
        <f>IF(AC407&gt;1,"Thermal Decomposition, ",IF(AC407&lt;0.1,"Corona,Arching"))</f>
        <v>Thermal Decomposition, </v>
      </c>
      <c r="AH407" s="17" t="str">
        <f t="shared" si="326"/>
        <v>Thermal Decomposition, </v>
      </c>
      <c r="AI407" s="17" t="str">
        <f t="shared" si="16"/>
        <v>Arching</v>
      </c>
      <c r="AJ407" s="17" t="str">
        <f t="shared" si="235"/>
        <v>Thermal Decomposition,corona </v>
      </c>
    </row>
    <row r="408" ht="12.75" customHeight="1">
      <c r="A408" s="11">
        <v>406.0</v>
      </c>
      <c r="B408" s="21">
        <v>6005785.0</v>
      </c>
      <c r="C408" s="21" t="s">
        <v>174</v>
      </c>
      <c r="D408" s="21" t="s">
        <v>383</v>
      </c>
      <c r="E408" s="21" t="s">
        <v>91</v>
      </c>
      <c r="F408" s="21">
        <v>1999.0</v>
      </c>
      <c r="G408" s="17">
        <v>8.0</v>
      </c>
      <c r="H408" s="16">
        <v>13.28</v>
      </c>
      <c r="I408" s="16">
        <v>16320.64</v>
      </c>
      <c r="J408" s="16">
        <v>60944.719999999994</v>
      </c>
      <c r="K408" s="16">
        <v>167.44</v>
      </c>
      <c r="L408" s="16">
        <v>1680.2399999999998</v>
      </c>
      <c r="M408" s="16">
        <v>8.08</v>
      </c>
      <c r="N408" s="16">
        <v>8.0</v>
      </c>
      <c r="O408" s="16">
        <v>2.88</v>
      </c>
      <c r="P408" s="16">
        <v>4.0</v>
      </c>
      <c r="Q408" s="17" t="str">
        <f t="shared" si="1"/>
        <v>1.388888889</v>
      </c>
      <c r="R408" s="17" t="str">
        <f t="shared" si="2"/>
        <v>0.6084337349</v>
      </c>
      <c r="S408" s="17" t="str">
        <f t="shared" si="8"/>
        <v>0.36</v>
      </c>
      <c r="T408" s="17" t="s">
        <v>30</v>
      </c>
      <c r="U408" s="17" t="s">
        <v>31</v>
      </c>
      <c r="V408" s="17" t="str">
        <f t="shared" si="352"/>
        <v>Partial discharge, Normal </v>
      </c>
      <c r="W408" s="17" t="str">
        <f t="shared" si="3"/>
        <v>1.388888889</v>
      </c>
      <c r="X408" s="17" t="str">
        <f t="shared" si="33"/>
        <v>0.6084337349</v>
      </c>
      <c r="Y408" s="17" t="str">
        <f t="shared" si="9"/>
        <v>0.36</v>
      </c>
      <c r="Z408" s="17" t="str">
        <f t="shared" ref="Z408:Z414" si="353">IF(W408&gt;1,"Discharge of Low Energy,  ",IF(W408&lt;0.1,"Thermal  Fault&gt; 300c and&lt;700 c"))</f>
        <v>Discharge of Low Energy,  </v>
      </c>
      <c r="AA408" s="17" t="s">
        <v>34</v>
      </c>
      <c r="AB408" s="17" t="s">
        <v>107</v>
      </c>
      <c r="AC408" s="17" t="str">
        <f t="shared" si="5"/>
        <v>0.6084337349</v>
      </c>
      <c r="AD408" s="18" t="str">
        <f t="shared" si="10"/>
        <v>1.388888889</v>
      </c>
      <c r="AE408" s="17" t="str">
        <f t="shared" si="6"/>
        <v>0.495049505</v>
      </c>
      <c r="AF408" s="17" t="str">
        <f t="shared" si="11"/>
        <v>2</v>
      </c>
      <c r="AG408" s="17" t="s">
        <v>30</v>
      </c>
      <c r="AH408" s="17" t="str">
        <f t="shared" si="326"/>
        <v>Arching</v>
      </c>
      <c r="AI408" s="17" t="str">
        <f t="shared" si="16"/>
        <v>Arching</v>
      </c>
      <c r="AJ408" s="17" t="str">
        <f t="shared" si="235"/>
        <v>Thermal Decomposition,corona </v>
      </c>
    </row>
    <row r="409" ht="12.75" customHeight="1">
      <c r="A409" s="11">
        <v>407.0</v>
      </c>
      <c r="B409" s="21">
        <v>6005785.0</v>
      </c>
      <c r="C409" s="21" t="s">
        <v>174</v>
      </c>
      <c r="D409" s="21" t="s">
        <v>383</v>
      </c>
      <c r="E409" s="21" t="s">
        <v>91</v>
      </c>
      <c r="F409" s="21">
        <v>1999.0</v>
      </c>
      <c r="G409" s="17">
        <v>8.1</v>
      </c>
      <c r="H409" s="16">
        <v>21.141000000000002</v>
      </c>
      <c r="I409" s="16">
        <v>17428.931999999997</v>
      </c>
      <c r="J409" s="16">
        <v>61520.87699999999</v>
      </c>
      <c r="K409" s="16">
        <v>136.161</v>
      </c>
      <c r="L409" s="16">
        <v>1474.1999999999998</v>
      </c>
      <c r="M409" s="16">
        <v>6.399000000000001</v>
      </c>
      <c r="N409" s="16">
        <v>7.0</v>
      </c>
      <c r="O409" s="16">
        <v>2.916</v>
      </c>
      <c r="P409" s="16">
        <v>5.0</v>
      </c>
      <c r="Q409" s="17" t="str">
        <f t="shared" si="1"/>
        <v>1.714677641</v>
      </c>
      <c r="R409" s="17" t="str">
        <f t="shared" si="2"/>
        <v>0.3026819923</v>
      </c>
      <c r="S409" s="17" t="str">
        <f t="shared" si="8"/>
        <v>0.4165714286</v>
      </c>
      <c r="T409" s="17" t="s">
        <v>30</v>
      </c>
      <c r="U409" s="17" t="s">
        <v>31</v>
      </c>
      <c r="V409" s="17" t="str">
        <f t="shared" si="352"/>
        <v>Partial discharge, Normal </v>
      </c>
      <c r="W409" s="17" t="str">
        <f t="shared" si="3"/>
        <v>1.714677641</v>
      </c>
      <c r="X409" s="17" t="str">
        <f t="shared" si="33"/>
        <v>0.3026819923</v>
      </c>
      <c r="Y409" s="17" t="str">
        <f t="shared" si="9"/>
        <v>0.4165714286</v>
      </c>
      <c r="Z409" s="17" t="str">
        <f t="shared" si="353"/>
        <v>Discharge of Low Energy,  </v>
      </c>
      <c r="AA409" s="17" t="s">
        <v>34</v>
      </c>
      <c r="AB409" s="17" t="s">
        <v>107</v>
      </c>
      <c r="AC409" s="17" t="str">
        <f t="shared" si="5"/>
        <v>0.3026819923</v>
      </c>
      <c r="AD409" s="18" t="str">
        <f t="shared" si="10"/>
        <v>1.714677641</v>
      </c>
      <c r="AE409" s="17" t="str">
        <f t="shared" si="6"/>
        <v>0.7813720894</v>
      </c>
      <c r="AF409" s="17" t="str">
        <f t="shared" si="11"/>
        <v>1.4</v>
      </c>
      <c r="AG409" s="17" t="s">
        <v>30</v>
      </c>
      <c r="AH409" s="17" t="str">
        <f t="shared" si="326"/>
        <v>Arching</v>
      </c>
      <c r="AI409" s="17" t="str">
        <f t="shared" si="16"/>
        <v>Arching</v>
      </c>
      <c r="AJ409" s="17" t="str">
        <f t="shared" si="235"/>
        <v>Thermal Decomposition,corona </v>
      </c>
    </row>
    <row r="410" ht="12.75" customHeight="1">
      <c r="A410" s="11">
        <v>408.0</v>
      </c>
      <c r="B410" s="21">
        <v>6005785.0</v>
      </c>
      <c r="C410" s="21" t="s">
        <v>174</v>
      </c>
      <c r="D410" s="21" t="s">
        <v>383</v>
      </c>
      <c r="E410" s="21" t="s">
        <v>91</v>
      </c>
      <c r="F410" s="21">
        <v>1999.0</v>
      </c>
      <c r="G410" s="17">
        <v>7.3</v>
      </c>
      <c r="H410" s="16">
        <v>18.834</v>
      </c>
      <c r="I410" s="16">
        <v>13301.548999999999</v>
      </c>
      <c r="J410" s="16">
        <v>57281.64000000001</v>
      </c>
      <c r="K410" s="16">
        <v>111.544</v>
      </c>
      <c r="L410" s="16">
        <v>1192.017</v>
      </c>
      <c r="M410" s="16">
        <v>8.176</v>
      </c>
      <c r="N410" s="16">
        <v>6.0</v>
      </c>
      <c r="O410" s="16">
        <v>2.6279999999999997</v>
      </c>
      <c r="P410" s="16">
        <v>5.0</v>
      </c>
      <c r="Q410" s="17" t="str">
        <f t="shared" si="1"/>
        <v>1.902587519</v>
      </c>
      <c r="R410" s="17" t="str">
        <f t="shared" si="2"/>
        <v>0.4341085271</v>
      </c>
      <c r="S410" s="17" t="str">
        <f t="shared" si="8"/>
        <v>0.438</v>
      </c>
      <c r="T410" s="17" t="s">
        <v>30</v>
      </c>
      <c r="U410" s="17" t="s">
        <v>31</v>
      </c>
      <c r="V410" s="17" t="str">
        <f t="shared" si="352"/>
        <v>Partial discharge, Normal </v>
      </c>
      <c r="W410" s="17" t="str">
        <f t="shared" si="3"/>
        <v>1.902587519</v>
      </c>
      <c r="X410" s="17" t="str">
        <f t="shared" si="33"/>
        <v>0.4341085271</v>
      </c>
      <c r="Y410" s="17" t="str">
        <f t="shared" si="9"/>
        <v>0.438</v>
      </c>
      <c r="Z410" s="17" t="str">
        <f t="shared" si="353"/>
        <v>Discharge of Low Energy,  </v>
      </c>
      <c r="AA410" s="17" t="s">
        <v>34</v>
      </c>
      <c r="AB410" s="17" t="s">
        <v>107</v>
      </c>
      <c r="AC410" s="17" t="str">
        <f t="shared" si="5"/>
        <v>0.4341085271</v>
      </c>
      <c r="AD410" s="18" t="str">
        <f t="shared" si="10"/>
        <v>1.902587519</v>
      </c>
      <c r="AE410" s="17" t="str">
        <f t="shared" si="6"/>
        <v>0.6115459883</v>
      </c>
      <c r="AF410" s="17" t="str">
        <f t="shared" si="11"/>
        <v>1.2</v>
      </c>
      <c r="AG410" s="17" t="s">
        <v>30</v>
      </c>
      <c r="AH410" s="17" t="str">
        <f t="shared" si="326"/>
        <v>Arching</v>
      </c>
      <c r="AI410" s="17" t="str">
        <f t="shared" si="16"/>
        <v>Arching</v>
      </c>
      <c r="AJ410" s="17" t="str">
        <f t="shared" si="235"/>
        <v>Thermal Decomposition,corona </v>
      </c>
    </row>
    <row r="411" ht="12.75" customHeight="1">
      <c r="A411" s="11">
        <v>409.0</v>
      </c>
      <c r="B411" s="21">
        <v>2005423.0</v>
      </c>
      <c r="C411" s="21" t="s">
        <v>89</v>
      </c>
      <c r="D411" s="21" t="s">
        <v>384</v>
      </c>
      <c r="E411" s="21" t="s">
        <v>112</v>
      </c>
      <c r="F411" s="21">
        <v>1989.0</v>
      </c>
      <c r="G411" s="17">
        <v>7.8</v>
      </c>
      <c r="H411" s="16">
        <v>19.266</v>
      </c>
      <c r="I411" s="16">
        <v>12153.179999999998</v>
      </c>
      <c r="J411" s="16">
        <v>63337.404</v>
      </c>
      <c r="K411" s="16">
        <v>157.326</v>
      </c>
      <c r="L411" s="16">
        <v>1645.956</v>
      </c>
      <c r="M411" s="16">
        <v>31.824</v>
      </c>
      <c r="N411" s="16">
        <v>46.722</v>
      </c>
      <c r="O411" s="16">
        <v>12.245999999999999</v>
      </c>
      <c r="P411" s="16">
        <v>33.0</v>
      </c>
      <c r="Q411" s="17" t="str">
        <f t="shared" si="1"/>
        <v>2.694757472</v>
      </c>
      <c r="R411" s="17" t="str">
        <f t="shared" si="2"/>
        <v>1.651821862</v>
      </c>
      <c r="S411" s="17" t="str">
        <f t="shared" si="8"/>
        <v>0.2621035058</v>
      </c>
      <c r="T411" s="17" t="s">
        <v>30</v>
      </c>
      <c r="U411" s="17" t="str">
        <f t="shared" ref="U411:U413" si="354">IF(R411&gt;1,"Thermal Fault &lt;700c, thermal fault &gt;700c ")</f>
        <v>Thermal Fault &lt;700c, thermal fault &gt;700c </v>
      </c>
      <c r="V411" s="17" t="str">
        <f t="shared" si="352"/>
        <v>Partial discharge, Normal </v>
      </c>
      <c r="W411" s="17" t="str">
        <f t="shared" si="3"/>
        <v>2.694757472</v>
      </c>
      <c r="X411" s="17" t="str">
        <f t="shared" si="33"/>
        <v>1.651821862</v>
      </c>
      <c r="Y411" s="17" t="str">
        <f t="shared" si="9"/>
        <v>0.2621035058</v>
      </c>
      <c r="Z411" s="17" t="str">
        <f t="shared" si="353"/>
        <v>Discharge of Low Energy,  </v>
      </c>
      <c r="AA411" s="17" t="str">
        <f t="shared" ref="AA411:AA413" si="355">IF(X411&lt;0.1,"Partial Discharges, ",IF(X411&gt;1,"Thermal  Fault &gt;300c and&lt;700 and &gt;700 c"))</f>
        <v>Thermal  Fault &gt;300c and&lt;700 and &gt;700 c</v>
      </c>
      <c r="AB411" s="17" t="s">
        <v>107</v>
      </c>
      <c r="AC411" s="17" t="str">
        <f t="shared" si="5"/>
        <v>1.651821862</v>
      </c>
      <c r="AD411" s="18" t="str">
        <f t="shared" si="10"/>
        <v>2.694757472</v>
      </c>
      <c r="AE411" s="17" t="str">
        <f t="shared" si="6"/>
        <v>1.036953243</v>
      </c>
      <c r="AF411" s="17" t="str">
        <f t="shared" si="11"/>
        <v>1.415818182</v>
      </c>
      <c r="AG411" s="17" t="str">
        <f t="shared" ref="AG411:AG413" si="356">IF(AC411&gt;1,"Thermal Decomposition, ",IF(AC411&lt;0.1,"Corona,Arching"))</f>
        <v>Thermal Decomposition, </v>
      </c>
      <c r="AH411" s="17" t="str">
        <f t="shared" si="326"/>
        <v>Arching</v>
      </c>
      <c r="AI411" s="17" t="str">
        <f t="shared" si="16"/>
        <v>Arching</v>
      </c>
      <c r="AJ411" s="17" t="str">
        <f t="shared" si="235"/>
        <v>Thermal Decomposition,corona </v>
      </c>
    </row>
    <row r="412" ht="12.75" customHeight="1">
      <c r="A412" s="11">
        <v>410.0</v>
      </c>
      <c r="B412" s="21">
        <v>2010654.0</v>
      </c>
      <c r="C412" s="21" t="s">
        <v>27</v>
      </c>
      <c r="D412" s="21" t="s">
        <v>385</v>
      </c>
      <c r="E412" s="21" t="s">
        <v>91</v>
      </c>
      <c r="F412" s="21">
        <v>1997.0</v>
      </c>
      <c r="G412" s="17">
        <v>7.4</v>
      </c>
      <c r="H412" s="16">
        <v>6.882</v>
      </c>
      <c r="I412" s="16">
        <v>14724.224</v>
      </c>
      <c r="J412" s="16">
        <v>57659.172</v>
      </c>
      <c r="K412" s="16">
        <v>86.72800000000001</v>
      </c>
      <c r="L412" s="16">
        <v>793.5020000000001</v>
      </c>
      <c r="M412" s="16">
        <v>8.14</v>
      </c>
      <c r="N412" s="16">
        <v>8.0</v>
      </c>
      <c r="O412" s="16">
        <v>5.6240000000000006</v>
      </c>
      <c r="P412" s="16">
        <v>38.0</v>
      </c>
      <c r="Q412" s="17" t="str">
        <f t="shared" si="1"/>
        <v>6.756756757</v>
      </c>
      <c r="R412" s="17" t="str">
        <f t="shared" si="2"/>
        <v>1.182795699</v>
      </c>
      <c r="S412" s="17" t="str">
        <f t="shared" si="8"/>
        <v>0.703</v>
      </c>
      <c r="T412" s="17" t="s">
        <v>30</v>
      </c>
      <c r="U412" s="17" t="str">
        <f t="shared" si="354"/>
        <v>Thermal Fault &lt;700c, thermal fault &gt;700c </v>
      </c>
      <c r="V412" s="17" t="str">
        <f t="shared" si="352"/>
        <v>Partial discharge, Normal </v>
      </c>
      <c r="W412" s="17" t="str">
        <f t="shared" si="3"/>
        <v>6.756756757</v>
      </c>
      <c r="X412" s="17" t="str">
        <f t="shared" si="33"/>
        <v>1.182795699</v>
      </c>
      <c r="Y412" s="17" t="str">
        <f t="shared" si="9"/>
        <v>0.703</v>
      </c>
      <c r="Z412" s="17" t="str">
        <f t="shared" si="353"/>
        <v>Discharge of Low Energy,  </v>
      </c>
      <c r="AA412" s="17" t="str">
        <f t="shared" si="355"/>
        <v>Thermal  Fault &gt;300c and&lt;700 and &gt;700 c</v>
      </c>
      <c r="AB412" s="17" t="s">
        <v>107</v>
      </c>
      <c r="AC412" s="17" t="str">
        <f t="shared" si="5"/>
        <v>1.182795699</v>
      </c>
      <c r="AD412" s="18" t="str">
        <f t="shared" si="10"/>
        <v>6.756756757</v>
      </c>
      <c r="AE412" s="17" t="str">
        <f t="shared" si="6"/>
        <v>4.668304668</v>
      </c>
      <c r="AF412" s="17" t="str">
        <f t="shared" si="11"/>
        <v>0.2105263158</v>
      </c>
      <c r="AG412" s="17" t="str">
        <f t="shared" si="356"/>
        <v>Thermal Decomposition, </v>
      </c>
      <c r="AH412" s="17" t="str">
        <f t="shared" si="326"/>
        <v>Arching</v>
      </c>
      <c r="AI412" s="17" t="str">
        <f t="shared" si="16"/>
        <v>Arching</v>
      </c>
      <c r="AJ412" s="17" t="str">
        <f t="shared" si="235"/>
        <v>Arching</v>
      </c>
    </row>
    <row r="413" ht="12.75" customHeight="1">
      <c r="A413" s="11">
        <v>411.0</v>
      </c>
      <c r="B413" s="21">
        <v>2010653.0</v>
      </c>
      <c r="C413" s="21" t="s">
        <v>99</v>
      </c>
      <c r="D413" s="21" t="s">
        <v>386</v>
      </c>
      <c r="E413" s="21" t="s">
        <v>91</v>
      </c>
      <c r="F413" s="21">
        <v>1997.0</v>
      </c>
      <c r="G413" s="17">
        <v>8.0</v>
      </c>
      <c r="H413" s="16">
        <v>9.2</v>
      </c>
      <c r="I413" s="16">
        <v>16498.8</v>
      </c>
      <c r="J413" s="16">
        <v>62103.44</v>
      </c>
      <c r="K413" s="16">
        <v>83.67999999999999</v>
      </c>
      <c r="L413" s="16">
        <v>846.48</v>
      </c>
      <c r="M413" s="16">
        <v>10.56</v>
      </c>
      <c r="N413" s="16">
        <v>9.0</v>
      </c>
      <c r="O413" s="16">
        <v>7.5200000000000005</v>
      </c>
      <c r="P413" s="16">
        <v>9.0</v>
      </c>
      <c r="Q413" s="17" t="str">
        <f t="shared" si="1"/>
        <v>1.196808511</v>
      </c>
      <c r="R413" s="17" t="str">
        <f t="shared" si="2"/>
        <v>1.147826087</v>
      </c>
      <c r="S413" s="17" t="str">
        <f t="shared" si="8"/>
        <v>0.8355555556</v>
      </c>
      <c r="T413" s="17" t="s">
        <v>30</v>
      </c>
      <c r="U413" s="17" t="str">
        <f t="shared" si="354"/>
        <v>Thermal Fault &lt;700c, thermal fault &gt;700c </v>
      </c>
      <c r="V413" s="17" t="str">
        <f t="shared" si="352"/>
        <v>Partial discharge, Normal </v>
      </c>
      <c r="W413" s="17" t="str">
        <f t="shared" si="3"/>
        <v>1.196808511</v>
      </c>
      <c r="X413" s="17" t="str">
        <f t="shared" si="33"/>
        <v>1.147826087</v>
      </c>
      <c r="Y413" s="17" t="str">
        <f t="shared" si="9"/>
        <v>0.8355555556</v>
      </c>
      <c r="Z413" s="17" t="str">
        <f t="shared" si="353"/>
        <v>Discharge of Low Energy,  </v>
      </c>
      <c r="AA413" s="17" t="str">
        <f t="shared" si="355"/>
        <v>Thermal  Fault &gt;300c and&lt;700 and &gt;700 c</v>
      </c>
      <c r="AB413" s="17" t="s">
        <v>107</v>
      </c>
      <c r="AC413" s="17" t="str">
        <f t="shared" si="5"/>
        <v>1.147826087</v>
      </c>
      <c r="AD413" s="18" t="str">
        <f t="shared" si="10"/>
        <v>1.196808511</v>
      </c>
      <c r="AE413" s="17" t="str">
        <f t="shared" si="6"/>
        <v>0.8522727273</v>
      </c>
      <c r="AF413" s="17" t="str">
        <f t="shared" si="11"/>
        <v>1</v>
      </c>
      <c r="AG413" s="17" t="str">
        <f t="shared" si="356"/>
        <v>Thermal Decomposition, </v>
      </c>
      <c r="AH413" s="17" t="str">
        <f t="shared" si="326"/>
        <v>Arching</v>
      </c>
      <c r="AI413" s="17" t="str">
        <f t="shared" si="16"/>
        <v>Arching</v>
      </c>
      <c r="AJ413" s="17" t="str">
        <f t="shared" si="235"/>
        <v>Thermal Decomposition,corona </v>
      </c>
    </row>
    <row r="414" ht="12.75" customHeight="1">
      <c r="A414" s="11">
        <v>412.0</v>
      </c>
      <c r="B414" s="21">
        <v>2010652.0</v>
      </c>
      <c r="C414" s="21" t="s">
        <v>99</v>
      </c>
      <c r="D414" s="21" t="s">
        <v>386</v>
      </c>
      <c r="E414" s="21" t="s">
        <v>91</v>
      </c>
      <c r="F414" s="21">
        <v>1997.0</v>
      </c>
      <c r="G414" s="25">
        <v>8.4</v>
      </c>
      <c r="H414" s="16">
        <v>7.811999999999999</v>
      </c>
      <c r="I414" s="16">
        <v>13813.716000000002</v>
      </c>
      <c r="J414" s="16">
        <v>67202.26800000001</v>
      </c>
      <c r="K414" s="16">
        <v>204.204</v>
      </c>
      <c r="L414" s="16">
        <v>1733.8439999999998</v>
      </c>
      <c r="M414" s="16">
        <v>7.056</v>
      </c>
      <c r="N414" s="16">
        <v>6.0</v>
      </c>
      <c r="O414" s="16">
        <v>1.932</v>
      </c>
      <c r="P414" s="16">
        <v>7.0</v>
      </c>
      <c r="Q414" s="17" t="str">
        <f t="shared" si="1"/>
        <v>3.623188406</v>
      </c>
      <c r="R414" s="17" t="str">
        <f t="shared" si="2"/>
        <v>0.9032258065</v>
      </c>
      <c r="S414" s="17" t="str">
        <f t="shared" si="8"/>
        <v>0.322</v>
      </c>
      <c r="T414" s="17" t="s">
        <v>30</v>
      </c>
      <c r="U414" s="17" t="str">
        <f>IF(R414&lt;0.1, "Partial discharge", "Low temperature thermal ")</f>
        <v>Low temperature thermal </v>
      </c>
      <c r="V414" s="17" t="str">
        <f t="shared" si="352"/>
        <v>Partial discharge, Normal </v>
      </c>
      <c r="W414" s="17" t="str">
        <f t="shared" si="3"/>
        <v>3.623188406</v>
      </c>
      <c r="X414" s="17" t="str">
        <f t="shared" si="33"/>
        <v>0.9032258065</v>
      </c>
      <c r="Y414" s="17" t="str">
        <f t="shared" si="9"/>
        <v>0.322</v>
      </c>
      <c r="Z414" s="17" t="str">
        <f t="shared" si="353"/>
        <v>Discharge of Low Energy,  </v>
      </c>
      <c r="AA414" s="17" t="s">
        <v>34</v>
      </c>
      <c r="AB414" s="17" t="s">
        <v>107</v>
      </c>
      <c r="AC414" s="17" t="str">
        <f t="shared" si="5"/>
        <v>0.9032258065</v>
      </c>
      <c r="AD414" s="18" t="str">
        <f t="shared" si="10"/>
        <v>3.623188406</v>
      </c>
      <c r="AE414" s="17" t="str">
        <f t="shared" si="6"/>
        <v>0.9920634921</v>
      </c>
      <c r="AF414" s="17" t="str">
        <f t="shared" si="11"/>
        <v>0.8571428571</v>
      </c>
      <c r="AG414" s="17" t="s">
        <v>30</v>
      </c>
      <c r="AH414" s="17" t="str">
        <f t="shared" si="326"/>
        <v>Arching</v>
      </c>
      <c r="AI414" s="17" t="str">
        <f t="shared" si="16"/>
        <v>Arching</v>
      </c>
      <c r="AJ414" s="17" t="str">
        <f t="shared" si="235"/>
        <v>Thermal Decomposition,corona </v>
      </c>
    </row>
    <row r="415" ht="12.75" customHeight="1">
      <c r="A415" s="11">
        <v>413.0</v>
      </c>
      <c r="B415" s="21">
        <v>2010655.0</v>
      </c>
      <c r="C415" s="21" t="s">
        <v>27</v>
      </c>
      <c r="D415" s="21" t="s">
        <v>385</v>
      </c>
      <c r="E415" s="21" t="s">
        <v>91</v>
      </c>
      <c r="F415" s="21">
        <v>1997.0</v>
      </c>
      <c r="G415" s="17">
        <v>8.0</v>
      </c>
      <c r="H415" s="16">
        <v>8.0</v>
      </c>
      <c r="I415" s="16">
        <v>15791.12</v>
      </c>
      <c r="J415" s="16">
        <v>62537.2</v>
      </c>
      <c r="K415" s="16">
        <v>80.32000000000001</v>
      </c>
      <c r="L415" s="16">
        <v>965.1199999999999</v>
      </c>
      <c r="M415" s="16">
        <v>9.68</v>
      </c>
      <c r="N415" s="16">
        <v>7.5200000000000005</v>
      </c>
      <c r="O415" s="16">
        <v>8.0</v>
      </c>
      <c r="P415" s="16">
        <v>6.0</v>
      </c>
      <c r="Q415" s="17" t="str">
        <f t="shared" si="1"/>
        <v>0.75</v>
      </c>
      <c r="R415" s="17" t="str">
        <f t="shared" si="2"/>
        <v>1.21</v>
      </c>
      <c r="S415" s="17" t="str">
        <f t="shared" si="8"/>
        <v>1.063829787</v>
      </c>
      <c r="T415" s="17" t="str">
        <f t="shared" ref="T415:T418" si="357">IF(Q415&lt;1,"Partial discharge,Low Temprature thermal fault,")</f>
        <v>Partial discharge,Low Temprature thermal fault,</v>
      </c>
      <c r="U415" s="17" t="s">
        <v>30</v>
      </c>
      <c r="V415" s="17" t="s">
        <v>37</v>
      </c>
      <c r="W415" s="17" t="str">
        <f t="shared" si="3"/>
        <v>0.75</v>
      </c>
      <c r="X415" s="17" t="str">
        <f t="shared" si="33"/>
        <v>1.21</v>
      </c>
      <c r="Y415" s="17" t="str">
        <f t="shared" si="9"/>
        <v>1.063829787</v>
      </c>
      <c r="Z415" s="17" t="s">
        <v>34</v>
      </c>
      <c r="AA415" s="17" t="str">
        <f t="shared" ref="AA415:AA417" si="358">IF(X415&lt;0.1,"Partial Discharges, ",IF(X415&gt;1,"Thermal  Fault &gt;300c and&lt;700 and &gt;700 c"))</f>
        <v>Thermal  Fault &gt;300c and&lt;700 and &gt;700 c</v>
      </c>
      <c r="AB415" s="17" t="str">
        <f t="shared" ref="AB415:AB416" si="359">IF(Y415&lt;0.2,"Partial Discharges, ",IF(Y415&gt;1,"Thermal  Fault  &gt;700 c"))</f>
        <v>Thermal  Fault  &gt;700 c</v>
      </c>
      <c r="AC415" s="17" t="str">
        <f t="shared" si="5"/>
        <v>1.21</v>
      </c>
      <c r="AD415" s="18" t="str">
        <f t="shared" si="10"/>
        <v>0.75</v>
      </c>
      <c r="AE415" s="17" t="str">
        <f t="shared" si="6"/>
        <v>0.6198347107</v>
      </c>
      <c r="AF415" s="17" t="str">
        <f t="shared" si="11"/>
        <v>1.253333333</v>
      </c>
      <c r="AG415" s="17" t="str">
        <f t="shared" ref="AG415:AG417" si="360">IF(AC415&gt;1,"Thermal Decomposition, ",IF(AC415&lt;0.1,"Corona,Arching"))</f>
        <v>Thermal Decomposition, </v>
      </c>
      <c r="AH415" s="17" t="str">
        <f t="shared" si="326"/>
        <v>FALSE</v>
      </c>
      <c r="AI415" s="17" t="str">
        <f t="shared" si="16"/>
        <v>Arching</v>
      </c>
      <c r="AJ415" s="17" t="str">
        <f t="shared" si="235"/>
        <v>Thermal Decomposition,corona </v>
      </c>
    </row>
    <row r="416" ht="12.75" customHeight="1">
      <c r="A416" s="11">
        <v>414.0</v>
      </c>
      <c r="B416" s="21">
        <v>2.800057667E9</v>
      </c>
      <c r="C416" s="21" t="s">
        <v>84</v>
      </c>
      <c r="D416" s="21" t="s">
        <v>387</v>
      </c>
      <c r="E416" s="21" t="s">
        <v>83</v>
      </c>
      <c r="F416" s="21">
        <v>1999.0</v>
      </c>
      <c r="G416" s="17">
        <v>7.8</v>
      </c>
      <c r="H416" s="16">
        <v>1.0919999999999999</v>
      </c>
      <c r="I416" s="16">
        <v>13505.778</v>
      </c>
      <c r="J416" s="16">
        <v>62645.778</v>
      </c>
      <c r="K416" s="16">
        <v>137.982</v>
      </c>
      <c r="L416" s="16">
        <v>849.654</v>
      </c>
      <c r="M416" s="16">
        <v>8.0</v>
      </c>
      <c r="N416" s="16">
        <v>7.41</v>
      </c>
      <c r="O416" s="16">
        <v>19.421999999999997</v>
      </c>
      <c r="P416" s="16">
        <v>15.0</v>
      </c>
      <c r="Q416" s="17" t="str">
        <f t="shared" si="1"/>
        <v>0.7723200494</v>
      </c>
      <c r="R416" s="17" t="str">
        <f t="shared" si="2"/>
        <v>7.326007326</v>
      </c>
      <c r="S416" s="17" t="str">
        <f t="shared" si="8"/>
        <v>2.621052632</v>
      </c>
      <c r="T416" s="17" t="str">
        <f t="shared" si="357"/>
        <v>Partial discharge,Low Temprature thermal fault,</v>
      </c>
      <c r="U416" s="17" t="str">
        <f t="shared" ref="U416:U417" si="361">IF(R416&lt;0.1, "Partial discharge", "Low temperature thermal ")</f>
        <v>Low temperature thermal </v>
      </c>
      <c r="V416" s="17" t="s">
        <v>37</v>
      </c>
      <c r="W416" s="17" t="str">
        <f t="shared" si="3"/>
        <v>0.7723200494</v>
      </c>
      <c r="X416" s="17" t="str">
        <f t="shared" si="33"/>
        <v>7.326007326</v>
      </c>
      <c r="Y416" s="17" t="str">
        <f t="shared" si="9"/>
        <v>2.621052632</v>
      </c>
      <c r="Z416" s="17" t="s">
        <v>34</v>
      </c>
      <c r="AA416" s="17" t="str">
        <f t="shared" si="358"/>
        <v>Thermal  Fault &gt;300c and&lt;700 and &gt;700 c</v>
      </c>
      <c r="AB416" s="17" t="str">
        <f t="shared" si="359"/>
        <v>Thermal  Fault  &gt;700 c</v>
      </c>
      <c r="AC416" s="17" t="str">
        <f t="shared" si="5"/>
        <v>7.326007326</v>
      </c>
      <c r="AD416" s="18" t="str">
        <f t="shared" si="10"/>
        <v>0.7723200494</v>
      </c>
      <c r="AE416" s="17" t="str">
        <f t="shared" si="6"/>
        <v>1.875</v>
      </c>
      <c r="AF416" s="17" t="str">
        <f t="shared" si="11"/>
        <v>0.494</v>
      </c>
      <c r="AG416" s="17" t="str">
        <f t="shared" si="360"/>
        <v>Thermal Decomposition, </v>
      </c>
      <c r="AH416" s="17" t="str">
        <f t="shared" si="326"/>
        <v>Arching</v>
      </c>
      <c r="AI416" s="17" t="str">
        <f t="shared" si="16"/>
        <v>Arching</v>
      </c>
      <c r="AJ416" s="17" t="str">
        <f t="shared" si="235"/>
        <v>Thermal Decomposition,corona </v>
      </c>
    </row>
    <row r="417" ht="12.75" customHeight="1">
      <c r="A417" s="11">
        <v>415.0</v>
      </c>
      <c r="B417" s="21">
        <v>2.800049527E9</v>
      </c>
      <c r="C417" s="21" t="s">
        <v>82</v>
      </c>
      <c r="D417" s="21" t="s">
        <v>388</v>
      </c>
      <c r="E417" s="21" t="s">
        <v>83</v>
      </c>
      <c r="F417" s="21">
        <v>1989.0</v>
      </c>
      <c r="G417" s="25">
        <v>8.6</v>
      </c>
      <c r="H417" s="16">
        <v>1.806</v>
      </c>
      <c r="I417" s="16">
        <v>17927.216</v>
      </c>
      <c r="J417" s="16">
        <v>66049.204</v>
      </c>
      <c r="K417" s="16">
        <v>85.054</v>
      </c>
      <c r="L417" s="16">
        <v>880.9839999999999</v>
      </c>
      <c r="M417" s="16">
        <v>9.0</v>
      </c>
      <c r="N417" s="16">
        <v>9.0</v>
      </c>
      <c r="O417" s="16">
        <v>7.0</v>
      </c>
      <c r="P417" s="16">
        <v>6.0</v>
      </c>
      <c r="Q417" s="17" t="str">
        <f t="shared" si="1"/>
        <v>0.8571428571</v>
      </c>
      <c r="R417" s="17" t="str">
        <f t="shared" si="2"/>
        <v>4.983388704</v>
      </c>
      <c r="S417" s="17" t="str">
        <f t="shared" si="8"/>
        <v>0.7777777778</v>
      </c>
      <c r="T417" s="17" t="str">
        <f t="shared" si="357"/>
        <v>Partial discharge,Low Temprature thermal fault,</v>
      </c>
      <c r="U417" s="17" t="str">
        <f t="shared" si="361"/>
        <v>Low temperature thermal </v>
      </c>
      <c r="V417" s="17" t="str">
        <f>IF(S417&lt;1,"Partial discharge, Normal ",IF(S417&gt;3,"Arching,Thermal  Fault &gt; 700 c"))</f>
        <v>Partial discharge, Normal </v>
      </c>
      <c r="W417" s="17" t="str">
        <f t="shared" si="3"/>
        <v>0.8571428571</v>
      </c>
      <c r="X417" s="17" t="str">
        <f t="shared" si="33"/>
        <v>4.983388704</v>
      </c>
      <c r="Y417" s="17" t="str">
        <f t="shared" si="9"/>
        <v>0.7777777778</v>
      </c>
      <c r="Z417" s="17" t="s">
        <v>34</v>
      </c>
      <c r="AA417" s="17" t="str">
        <f t="shared" si="358"/>
        <v>Thermal  Fault &gt;300c and&lt;700 and &gt;700 c</v>
      </c>
      <c r="AB417" s="17" t="s">
        <v>107</v>
      </c>
      <c r="AC417" s="17" t="str">
        <f t="shared" si="5"/>
        <v>4.983388704</v>
      </c>
      <c r="AD417" s="18" t="str">
        <f t="shared" si="10"/>
        <v>0.8571428571</v>
      </c>
      <c r="AE417" s="17" t="str">
        <f t="shared" si="6"/>
        <v>0.6666666667</v>
      </c>
      <c r="AF417" s="17" t="str">
        <f t="shared" si="11"/>
        <v>1.5</v>
      </c>
      <c r="AG417" s="17" t="str">
        <f t="shared" si="360"/>
        <v>Thermal Decomposition, </v>
      </c>
      <c r="AH417" s="17" t="str">
        <f t="shared" si="326"/>
        <v>Arching</v>
      </c>
      <c r="AI417" s="17" t="str">
        <f t="shared" si="16"/>
        <v>Arching</v>
      </c>
      <c r="AJ417" s="17" t="str">
        <f t="shared" si="235"/>
        <v>Thermal Decomposition,corona </v>
      </c>
    </row>
    <row r="418" ht="12.75" customHeight="1">
      <c r="A418" s="11">
        <v>416.0</v>
      </c>
      <c r="B418" s="21" t="s">
        <v>86</v>
      </c>
      <c r="C418" s="21" t="s">
        <v>84</v>
      </c>
      <c r="D418" s="21" t="s">
        <v>387</v>
      </c>
      <c r="E418" s="21" t="s">
        <v>29</v>
      </c>
      <c r="F418" s="21" t="s">
        <v>389</v>
      </c>
      <c r="G418" s="17">
        <v>8.4</v>
      </c>
      <c r="H418" s="16">
        <v>4.704</v>
      </c>
      <c r="I418" s="16">
        <v>18438.252</v>
      </c>
      <c r="J418" s="16">
        <v>62682.564</v>
      </c>
      <c r="K418" s="16">
        <v>146.16</v>
      </c>
      <c r="L418" s="16">
        <v>1682.016</v>
      </c>
      <c r="M418" s="16">
        <v>3.192</v>
      </c>
      <c r="N418" s="16">
        <v>4.956</v>
      </c>
      <c r="O418" s="16">
        <v>8.0</v>
      </c>
      <c r="P418" s="16">
        <v>7.0</v>
      </c>
      <c r="Q418" s="17" t="str">
        <f t="shared" si="1"/>
        <v>0.875</v>
      </c>
      <c r="R418" s="17" t="str">
        <f t="shared" si="2"/>
        <v>0.6785714286</v>
      </c>
      <c r="S418" s="17" t="str">
        <f t="shared" si="8"/>
        <v>1.614205004</v>
      </c>
      <c r="T418" s="17" t="str">
        <f t="shared" si="357"/>
        <v>Partial discharge,Low Temprature thermal fault,</v>
      </c>
      <c r="U418" s="17" t="s">
        <v>31</v>
      </c>
      <c r="V418" s="17" t="s">
        <v>37</v>
      </c>
      <c r="W418" s="17" t="str">
        <f t="shared" si="3"/>
        <v>0.875</v>
      </c>
      <c r="X418" s="17" t="str">
        <f t="shared" si="33"/>
        <v>0.6785714286</v>
      </c>
      <c r="Y418" s="17" t="str">
        <f t="shared" si="9"/>
        <v>1.614205004</v>
      </c>
      <c r="Z418" s="17" t="s">
        <v>34</v>
      </c>
      <c r="AA418" s="17" t="s">
        <v>34</v>
      </c>
      <c r="AB418" s="17" t="str">
        <f>IF(Y418&lt;0.2,"Partial Discharges, ",IF(Y418&gt;1,"Thermal  Fault  &gt;700 c"))</f>
        <v>Thermal  Fault  &gt;700 c</v>
      </c>
      <c r="AC418" s="17" t="str">
        <f t="shared" si="5"/>
        <v>0.6785714286</v>
      </c>
      <c r="AD418" s="18" t="str">
        <f t="shared" si="10"/>
        <v>0.875</v>
      </c>
      <c r="AE418" s="17" t="str">
        <f t="shared" si="6"/>
        <v>2.192982456</v>
      </c>
      <c r="AF418" s="17" t="str">
        <f t="shared" si="11"/>
        <v>0.708</v>
      </c>
      <c r="AG418" s="17" t="s">
        <v>30</v>
      </c>
      <c r="AH418" s="17" t="str">
        <f t="shared" si="326"/>
        <v>Arching</v>
      </c>
      <c r="AI418" s="17" t="str">
        <f t="shared" si="16"/>
        <v>Arching</v>
      </c>
      <c r="AJ418" s="17" t="str">
        <f t="shared" si="235"/>
        <v>Thermal Decomposition,corona </v>
      </c>
    </row>
    <row r="419" ht="12.75" customHeight="1">
      <c r="A419" s="11">
        <v>417.0</v>
      </c>
      <c r="B419" s="13" t="s">
        <v>390</v>
      </c>
      <c r="C419" s="13" t="s">
        <v>78</v>
      </c>
      <c r="D419" s="14" t="s">
        <v>94</v>
      </c>
      <c r="E419" s="13" t="s">
        <v>112</v>
      </c>
      <c r="F419" s="14">
        <v>2019.0</v>
      </c>
      <c r="G419" s="14">
        <v>7.5</v>
      </c>
      <c r="H419" s="15">
        <v>8.0</v>
      </c>
      <c r="I419" s="15">
        <v>11013.675000000001</v>
      </c>
      <c r="J419" s="15">
        <v>62262.450000000004</v>
      </c>
      <c r="K419" s="15">
        <v>75.375</v>
      </c>
      <c r="L419" s="15">
        <v>829.125</v>
      </c>
      <c r="M419" s="14">
        <v>8.0</v>
      </c>
      <c r="N419" s="14">
        <v>7.0</v>
      </c>
      <c r="O419" s="14">
        <v>5.0</v>
      </c>
      <c r="P419" s="14">
        <v>8.0</v>
      </c>
      <c r="Q419" s="17" t="str">
        <f t="shared" si="1"/>
        <v>1.6</v>
      </c>
      <c r="R419" s="17" t="str">
        <f t="shared" si="2"/>
        <v>1</v>
      </c>
      <c r="S419" s="17" t="str">
        <f t="shared" si="8"/>
        <v>0.7142857143</v>
      </c>
      <c r="T419" s="17" t="s">
        <v>30</v>
      </c>
      <c r="U419" s="17" t="s">
        <v>30</v>
      </c>
      <c r="V419" s="17" t="str">
        <f t="shared" ref="V419:V421" si="362">IF(S419&lt;1,"Partial discharge, Normal ",IF(S419&gt;3,"Arching,Thermal  Fault &gt; 700 c"))</f>
        <v>Partial discharge, Normal </v>
      </c>
      <c r="W419" s="17" t="str">
        <f t="shared" si="3"/>
        <v>1.6</v>
      </c>
      <c r="X419" s="17" t="str">
        <f t="shared" si="33"/>
        <v>1</v>
      </c>
      <c r="Y419" s="17" t="str">
        <f t="shared" si="9"/>
        <v>0.7142857143</v>
      </c>
      <c r="Z419" s="17" t="str">
        <f t="shared" ref="Z419:Z421" si="363">IF(W419&gt;1,"Discharge of Low Energy,  ",IF(W419&lt;0.1,"Thermal  Fault&gt; 300c and&lt;700 c"))</f>
        <v>Discharge of Low Energy,  </v>
      </c>
      <c r="AA419" s="17" t="s">
        <v>34</v>
      </c>
      <c r="AB419" s="17" t="s">
        <v>107</v>
      </c>
      <c r="AC419" s="17" t="str">
        <f t="shared" si="5"/>
        <v>1</v>
      </c>
      <c r="AD419" s="18" t="str">
        <f t="shared" si="10"/>
        <v>1.6</v>
      </c>
      <c r="AE419" s="17" t="str">
        <f t="shared" si="6"/>
        <v>1</v>
      </c>
      <c r="AF419" s="17" t="str">
        <f t="shared" si="11"/>
        <v>0.875</v>
      </c>
      <c r="AG419" s="17" t="s">
        <v>30</v>
      </c>
      <c r="AH419" s="17" t="str">
        <f t="shared" si="326"/>
        <v>Arching</v>
      </c>
      <c r="AI419" s="17" t="str">
        <f t="shared" si="16"/>
        <v>Arching</v>
      </c>
      <c r="AJ419" s="17" t="str">
        <f t="shared" si="235"/>
        <v>Thermal Decomposition,corona </v>
      </c>
    </row>
    <row r="420" ht="12.75" customHeight="1">
      <c r="A420" s="11">
        <v>418.0</v>
      </c>
      <c r="B420" s="13" t="s">
        <v>390</v>
      </c>
      <c r="C420" s="13" t="s">
        <v>78</v>
      </c>
      <c r="D420" s="14" t="s">
        <v>94</v>
      </c>
      <c r="E420" s="13" t="s">
        <v>112</v>
      </c>
      <c r="F420" s="14">
        <v>2019.0</v>
      </c>
      <c r="G420" s="14">
        <v>6.8</v>
      </c>
      <c r="H420" s="15">
        <v>5.0</v>
      </c>
      <c r="I420" s="15">
        <v>11462.011999999999</v>
      </c>
      <c r="J420" s="15">
        <v>55099.856</v>
      </c>
      <c r="K420" s="15">
        <v>90.71199999999999</v>
      </c>
      <c r="L420" s="15">
        <v>678.776</v>
      </c>
      <c r="M420" s="14">
        <v>6.0</v>
      </c>
      <c r="N420" s="14">
        <v>8.0</v>
      </c>
      <c r="O420" s="14">
        <v>7.0</v>
      </c>
      <c r="P420" s="14">
        <v>9.0</v>
      </c>
      <c r="Q420" s="17" t="str">
        <f t="shared" si="1"/>
        <v>1.285714286</v>
      </c>
      <c r="R420" s="17" t="str">
        <f t="shared" si="2"/>
        <v>1.2</v>
      </c>
      <c r="S420" s="17" t="str">
        <f t="shared" si="8"/>
        <v>0.875</v>
      </c>
      <c r="T420" s="17" t="s">
        <v>30</v>
      </c>
      <c r="U420" s="17" t="str">
        <f t="shared" ref="U420:U421" si="364">IF(R420&gt;1,"Thermal Fault &lt;700c, thermal fault &gt;700c ")</f>
        <v>Thermal Fault &lt;700c, thermal fault &gt;700c </v>
      </c>
      <c r="V420" s="17" t="str">
        <f t="shared" si="362"/>
        <v>Partial discharge, Normal </v>
      </c>
      <c r="W420" s="17" t="str">
        <f t="shared" si="3"/>
        <v>1.285714286</v>
      </c>
      <c r="X420" s="17" t="str">
        <f t="shared" si="33"/>
        <v>1.2</v>
      </c>
      <c r="Y420" s="17" t="str">
        <f t="shared" si="9"/>
        <v>0.875</v>
      </c>
      <c r="Z420" s="17" t="str">
        <f t="shared" si="363"/>
        <v>Discharge of Low Energy,  </v>
      </c>
      <c r="AA420" s="17" t="str">
        <f t="shared" ref="AA420:AA421" si="365">IF(X420&lt;0.1,"Partial Discharges, ",IF(X420&gt;1,"Thermal  Fault &gt;300c and&lt;700 and &gt;700 c"))</f>
        <v>Thermal  Fault &gt;300c and&lt;700 and &gt;700 c</v>
      </c>
      <c r="AB420" s="17" t="s">
        <v>107</v>
      </c>
      <c r="AC420" s="17" t="str">
        <f t="shared" si="5"/>
        <v>1.2</v>
      </c>
      <c r="AD420" s="18" t="str">
        <f t="shared" si="10"/>
        <v>1.285714286</v>
      </c>
      <c r="AE420" s="17" t="str">
        <f t="shared" si="6"/>
        <v>1.5</v>
      </c>
      <c r="AF420" s="17" t="str">
        <f t="shared" si="11"/>
        <v>0.8888888889</v>
      </c>
      <c r="AG420" s="17" t="str">
        <f t="shared" ref="AG420:AG421" si="366">IF(AC420&gt;1,"Thermal Decomposition, ",IF(AC420&lt;0.1,"Corona,Arching"))</f>
        <v>Thermal Decomposition, </v>
      </c>
      <c r="AH420" s="17" t="str">
        <f t="shared" si="326"/>
        <v>Arching</v>
      </c>
      <c r="AI420" s="17" t="str">
        <f t="shared" si="16"/>
        <v>Arching</v>
      </c>
      <c r="AJ420" s="17" t="str">
        <f t="shared" si="235"/>
        <v>Thermal Decomposition,corona </v>
      </c>
    </row>
    <row r="421" ht="12.75" customHeight="1">
      <c r="A421" s="11">
        <v>419.0</v>
      </c>
      <c r="B421" s="13" t="s">
        <v>391</v>
      </c>
      <c r="C421" s="13" t="s">
        <v>78</v>
      </c>
      <c r="D421" s="14" t="s">
        <v>94</v>
      </c>
      <c r="E421" s="13" t="s">
        <v>112</v>
      </c>
      <c r="F421" s="14">
        <v>2019.0</v>
      </c>
      <c r="G421" s="14">
        <v>7.1</v>
      </c>
      <c r="H421" s="15">
        <v>4.0</v>
      </c>
      <c r="I421" s="15">
        <v>13150.904</v>
      </c>
      <c r="J421" s="15">
        <v>56306.407999999996</v>
      </c>
      <c r="K421" s="15">
        <v>62.622</v>
      </c>
      <c r="L421" s="15">
        <v>750.1859999999999</v>
      </c>
      <c r="M421" s="14">
        <v>9.0</v>
      </c>
      <c r="N421" s="14">
        <v>9.0</v>
      </c>
      <c r="O421" s="14">
        <v>5.0</v>
      </c>
      <c r="P421" s="14">
        <v>8.0</v>
      </c>
      <c r="Q421" s="17" t="str">
        <f t="shared" si="1"/>
        <v>1.6</v>
      </c>
      <c r="R421" s="17" t="str">
        <f t="shared" si="2"/>
        <v>2.25</v>
      </c>
      <c r="S421" s="17" t="str">
        <f t="shared" si="8"/>
        <v>0.5555555556</v>
      </c>
      <c r="T421" s="17" t="s">
        <v>30</v>
      </c>
      <c r="U421" s="17" t="str">
        <f t="shared" si="364"/>
        <v>Thermal Fault &lt;700c, thermal fault &gt;700c </v>
      </c>
      <c r="V421" s="17" t="str">
        <f t="shared" si="362"/>
        <v>Partial discharge, Normal </v>
      </c>
      <c r="W421" s="17" t="str">
        <f t="shared" si="3"/>
        <v>1.6</v>
      </c>
      <c r="X421" s="17" t="str">
        <f t="shared" si="33"/>
        <v>2.25</v>
      </c>
      <c r="Y421" s="17" t="str">
        <f t="shared" si="9"/>
        <v>0.5555555556</v>
      </c>
      <c r="Z421" s="17" t="str">
        <f t="shared" si="363"/>
        <v>Discharge of Low Energy,  </v>
      </c>
      <c r="AA421" s="17" t="str">
        <f t="shared" si="365"/>
        <v>Thermal  Fault &gt;300c and&lt;700 and &gt;700 c</v>
      </c>
      <c r="AB421" s="17" t="s">
        <v>107</v>
      </c>
      <c r="AC421" s="17" t="str">
        <f t="shared" si="5"/>
        <v>2.25</v>
      </c>
      <c r="AD421" s="18" t="str">
        <f t="shared" si="10"/>
        <v>1.6</v>
      </c>
      <c r="AE421" s="17" t="str">
        <f t="shared" si="6"/>
        <v>0.8888888889</v>
      </c>
      <c r="AF421" s="17" t="str">
        <f t="shared" si="11"/>
        <v>1.125</v>
      </c>
      <c r="AG421" s="17" t="str">
        <f t="shared" si="366"/>
        <v>Thermal Decomposition, </v>
      </c>
      <c r="AH421" s="17" t="str">
        <f t="shared" si="326"/>
        <v>Arching</v>
      </c>
      <c r="AI421" s="17" t="str">
        <f t="shared" si="16"/>
        <v>Arching</v>
      </c>
      <c r="AJ421" s="17" t="str">
        <f t="shared" si="235"/>
        <v>Thermal Decomposition,corona </v>
      </c>
    </row>
    <row r="422" ht="12.75" customHeight="1">
      <c r="A422" s="11">
        <v>420.0</v>
      </c>
      <c r="B422" s="13" t="s">
        <v>391</v>
      </c>
      <c r="C422" s="13" t="s">
        <v>78</v>
      </c>
      <c r="D422" s="14" t="s">
        <v>94</v>
      </c>
      <c r="E422" s="13" t="s">
        <v>112</v>
      </c>
      <c r="F422" s="14">
        <v>2019.0</v>
      </c>
      <c r="G422" s="14">
        <v>7.4</v>
      </c>
      <c r="H422" s="15">
        <v>7.0</v>
      </c>
      <c r="I422" s="15">
        <v>13093.634</v>
      </c>
      <c r="J422" s="15">
        <v>59305.672000000006</v>
      </c>
      <c r="K422" s="15">
        <v>72.964</v>
      </c>
      <c r="L422" s="15">
        <v>811.114</v>
      </c>
      <c r="M422" s="14">
        <v>7.0</v>
      </c>
      <c r="N422" s="14">
        <v>6.0</v>
      </c>
      <c r="O422" s="14">
        <v>8.0</v>
      </c>
      <c r="P422" s="14">
        <v>6.0</v>
      </c>
      <c r="Q422" s="17" t="str">
        <f t="shared" si="1"/>
        <v>0.75</v>
      </c>
      <c r="R422" s="17" t="str">
        <f t="shared" si="2"/>
        <v>1</v>
      </c>
      <c r="S422" s="17" t="str">
        <f t="shared" si="8"/>
        <v>1.333333333</v>
      </c>
      <c r="T422" s="17" t="str">
        <f>IF(Q422&lt;1,"Partial discharge,Low Temprature thermal fault,")</f>
        <v>Partial discharge,Low Temprature thermal fault,</v>
      </c>
      <c r="U422" s="17" t="s">
        <v>30</v>
      </c>
      <c r="V422" s="17" t="s">
        <v>37</v>
      </c>
      <c r="W422" s="17" t="str">
        <f t="shared" si="3"/>
        <v>0.75</v>
      </c>
      <c r="X422" s="17" t="str">
        <f t="shared" si="33"/>
        <v>1</v>
      </c>
      <c r="Y422" s="17" t="str">
        <f t="shared" si="9"/>
        <v>1.333333333</v>
      </c>
      <c r="Z422" s="17" t="s">
        <v>34</v>
      </c>
      <c r="AA422" s="17" t="s">
        <v>34</v>
      </c>
      <c r="AB422" s="17" t="str">
        <f>IF(Y422&lt;0.2,"Partial Discharges, ",IF(Y422&gt;1,"Thermal  Fault  &gt;700 c"))</f>
        <v>Thermal  Fault  &gt;700 c</v>
      </c>
      <c r="AC422" s="17" t="str">
        <f t="shared" si="5"/>
        <v>1</v>
      </c>
      <c r="AD422" s="18" t="str">
        <f t="shared" si="10"/>
        <v>0.75</v>
      </c>
      <c r="AE422" s="17" t="str">
        <f t="shared" si="6"/>
        <v>0.8571428571</v>
      </c>
      <c r="AF422" s="17" t="str">
        <f t="shared" si="11"/>
        <v>1</v>
      </c>
      <c r="AG422" s="17" t="s">
        <v>30</v>
      </c>
      <c r="AH422" s="17" t="str">
        <f t="shared" si="326"/>
        <v>FALSE</v>
      </c>
      <c r="AI422" s="17" t="str">
        <f t="shared" si="16"/>
        <v>Arching</v>
      </c>
      <c r="AJ422" s="17" t="str">
        <f t="shared" si="235"/>
        <v>Thermal Decomposition,corona </v>
      </c>
    </row>
    <row r="423" ht="12.75" customHeight="1">
      <c r="A423" s="11">
        <v>421.0</v>
      </c>
      <c r="B423" s="19" t="s">
        <v>67</v>
      </c>
      <c r="C423" s="17" t="s">
        <v>392</v>
      </c>
      <c r="D423" s="17" t="s">
        <v>393</v>
      </c>
      <c r="E423" s="17" t="s">
        <v>93</v>
      </c>
      <c r="F423" s="17">
        <v>2011.0</v>
      </c>
      <c r="G423" s="17">
        <v>6.6</v>
      </c>
      <c r="H423" s="16">
        <v>4.0</v>
      </c>
      <c r="I423" s="16">
        <v>9735.923999999999</v>
      </c>
      <c r="J423" s="16">
        <v>54541.013999999996</v>
      </c>
      <c r="K423" s="16">
        <v>88.37399999999998</v>
      </c>
      <c r="L423" s="16">
        <v>961.0259999999998</v>
      </c>
      <c r="M423" s="16">
        <v>6.0</v>
      </c>
      <c r="N423" s="16">
        <v>8.0</v>
      </c>
      <c r="O423" s="16">
        <v>4.0</v>
      </c>
      <c r="P423" s="16">
        <v>8.0</v>
      </c>
      <c r="Q423" s="17" t="str">
        <f t="shared" si="1"/>
        <v>2</v>
      </c>
      <c r="R423" s="17" t="str">
        <f t="shared" si="2"/>
        <v>1.5</v>
      </c>
      <c r="S423" s="17" t="str">
        <f t="shared" si="8"/>
        <v>0.5</v>
      </c>
      <c r="T423" s="17" t="s">
        <v>30</v>
      </c>
      <c r="U423" s="17" t="str">
        <f>IF(R423&gt;1,"Thermal Fault &lt;700c, thermal fault &gt;700c ")</f>
        <v>Thermal Fault &lt;700c, thermal fault &gt;700c </v>
      </c>
      <c r="V423" s="17" t="str">
        <f>IF(S423&lt;1,"Partial discharge, Normal ",IF(S423&gt;3,"Arching,Thermal  Fault &gt; 700 c"))</f>
        <v>Partial discharge, Normal </v>
      </c>
      <c r="W423" s="17" t="str">
        <f t="shared" si="3"/>
        <v>2</v>
      </c>
      <c r="X423" s="17" t="str">
        <f t="shared" si="33"/>
        <v>1.5</v>
      </c>
      <c r="Y423" s="17" t="str">
        <f t="shared" si="9"/>
        <v>0.5</v>
      </c>
      <c r="Z423" s="17" t="str">
        <f>IF(W423&gt;1,"Discharge of Low Energy,  ",IF(W423&lt;0.1,"Thermal  Fault&gt; 300c and&lt;700 c"))</f>
        <v>Discharge of Low Energy,  </v>
      </c>
      <c r="AA423" s="17" t="str">
        <f>IF(X423&lt;0.1,"Partial Discharges, ",IF(X423&gt;1,"Thermal  Fault &gt;300c and&lt;700 and &gt;700 c"))</f>
        <v>Thermal  Fault &gt;300c and&lt;700 and &gt;700 c</v>
      </c>
      <c r="AB423" s="17" t="s">
        <v>107</v>
      </c>
      <c r="AC423" s="17" t="str">
        <f t="shared" si="5"/>
        <v>1.5</v>
      </c>
      <c r="AD423" s="18" t="str">
        <f t="shared" si="10"/>
        <v>2</v>
      </c>
      <c r="AE423" s="17" t="str">
        <f t="shared" si="6"/>
        <v>1.333333333</v>
      </c>
      <c r="AF423" s="17" t="str">
        <f t="shared" si="11"/>
        <v>1</v>
      </c>
      <c r="AG423" s="17" t="str">
        <f>IF(AC423&gt;1,"Thermal Decomposition, ",IF(AC423&lt;0.1,"Corona,Arching"))</f>
        <v>Thermal Decomposition, </v>
      </c>
      <c r="AH423" s="17" t="str">
        <f t="shared" si="326"/>
        <v>Arching</v>
      </c>
      <c r="AI423" s="17" t="str">
        <f t="shared" si="16"/>
        <v>Arching</v>
      </c>
      <c r="AJ423" s="17" t="str">
        <f t="shared" si="235"/>
        <v>Thermal Decomposition,corona </v>
      </c>
    </row>
    <row r="424" ht="12.75" customHeight="1">
      <c r="A424" s="11">
        <v>422.0</v>
      </c>
      <c r="B424" s="21" t="s">
        <v>394</v>
      </c>
      <c r="C424" s="21" t="s">
        <v>395</v>
      </c>
      <c r="D424" s="21" t="s">
        <v>190</v>
      </c>
      <c r="E424" s="21" t="s">
        <v>112</v>
      </c>
      <c r="F424" s="21">
        <v>2009.0</v>
      </c>
      <c r="G424" s="17">
        <v>7.0</v>
      </c>
      <c r="H424" s="16">
        <v>5.0</v>
      </c>
      <c r="I424" s="16">
        <v>13611.99</v>
      </c>
      <c r="J424" s="16">
        <v>54564.79000000001</v>
      </c>
      <c r="K424" s="16">
        <v>70.63000000000001</v>
      </c>
      <c r="L424" s="16">
        <v>744.31</v>
      </c>
      <c r="M424" s="16">
        <v>0.91</v>
      </c>
      <c r="N424" s="16">
        <v>6.0</v>
      </c>
      <c r="O424" s="16">
        <v>9.0</v>
      </c>
      <c r="P424" s="16">
        <v>6.0</v>
      </c>
      <c r="Q424" s="17" t="str">
        <f t="shared" si="1"/>
        <v>0.6666666667</v>
      </c>
      <c r="R424" s="17" t="str">
        <f t="shared" si="2"/>
        <v>0.182</v>
      </c>
      <c r="S424" s="17" t="str">
        <f t="shared" si="8"/>
        <v>1.5</v>
      </c>
      <c r="T424" s="17" t="str">
        <f>IF(Q424&lt;1,"Partial discharge,Low Temprature thermal fault,")</f>
        <v>Partial discharge,Low Temprature thermal fault,</v>
      </c>
      <c r="U424" s="17" t="s">
        <v>30</v>
      </c>
      <c r="V424" s="17" t="s">
        <v>37</v>
      </c>
      <c r="W424" s="17" t="str">
        <f t="shared" si="3"/>
        <v>0.6666666667</v>
      </c>
      <c r="X424" s="17" t="str">
        <f t="shared" si="33"/>
        <v>0.182</v>
      </c>
      <c r="Y424" s="17" t="str">
        <f t="shared" si="9"/>
        <v>1.5</v>
      </c>
      <c r="Z424" s="17" t="s">
        <v>34</v>
      </c>
      <c r="AA424" s="17" t="s">
        <v>245</v>
      </c>
      <c r="AB424" s="17" t="str">
        <f>IF(Y424&lt;0.2,"Partial Discharges, ",IF(Y424&gt;1,"Thermal  Fault  &gt;700 c"))</f>
        <v>Thermal  Fault  &gt;700 c</v>
      </c>
      <c r="AC424" s="17" t="str">
        <f t="shared" si="5"/>
        <v>0.182</v>
      </c>
      <c r="AD424" s="18" t="str">
        <f t="shared" si="10"/>
        <v>0.6666666667</v>
      </c>
      <c r="AE424" s="17" t="str">
        <f t="shared" si="6"/>
        <v>6.593406593</v>
      </c>
      <c r="AF424" s="17" t="str">
        <f t="shared" si="11"/>
        <v>1</v>
      </c>
      <c r="AG424" s="17" t="s">
        <v>30</v>
      </c>
      <c r="AH424" s="17" t="str">
        <f t="shared" si="326"/>
        <v>Thermal Decomposition, </v>
      </c>
      <c r="AI424" s="17" t="str">
        <f t="shared" si="16"/>
        <v>Arching</v>
      </c>
      <c r="AJ424" s="17" t="str">
        <f t="shared" si="235"/>
        <v>Thermal Decomposition,corona </v>
      </c>
    </row>
    <row r="425" ht="12.75" customHeight="1">
      <c r="A425" s="11">
        <v>423.0</v>
      </c>
      <c r="B425" s="21" t="s">
        <v>396</v>
      </c>
      <c r="C425" s="21" t="s">
        <v>395</v>
      </c>
      <c r="D425" s="21" t="s">
        <v>190</v>
      </c>
      <c r="E425" s="21" t="s">
        <v>112</v>
      </c>
      <c r="F425" s="21">
        <v>2009.0</v>
      </c>
      <c r="G425" s="17">
        <v>8.1</v>
      </c>
      <c r="H425" s="16">
        <v>3.0</v>
      </c>
      <c r="I425" s="16">
        <v>12693.590999999999</v>
      </c>
      <c r="J425" s="16">
        <v>64827.702</v>
      </c>
      <c r="K425" s="16">
        <v>258.147</v>
      </c>
      <c r="L425" s="16">
        <v>2493.3419999999996</v>
      </c>
      <c r="M425" s="16">
        <v>5.0</v>
      </c>
      <c r="N425" s="16">
        <v>8.0</v>
      </c>
      <c r="O425" s="16">
        <v>8.0</v>
      </c>
      <c r="P425" s="16">
        <v>8.0</v>
      </c>
      <c r="Q425" s="17" t="str">
        <f t="shared" si="1"/>
        <v>1</v>
      </c>
      <c r="R425" s="17" t="str">
        <f t="shared" si="2"/>
        <v>1.666666667</v>
      </c>
      <c r="S425" s="17" t="str">
        <f t="shared" si="8"/>
        <v>1</v>
      </c>
      <c r="T425" s="17" t="s">
        <v>30</v>
      </c>
      <c r="U425" s="17" t="str">
        <f t="shared" ref="U425:U426" si="367">IF(R425&gt;1,"Thermal Fault &lt;700c, thermal fault &gt;700c ")</f>
        <v>Thermal Fault &lt;700c, thermal fault &gt;700c </v>
      </c>
      <c r="V425" s="17" t="s">
        <v>37</v>
      </c>
      <c r="W425" s="17" t="str">
        <f t="shared" si="3"/>
        <v>1</v>
      </c>
      <c r="X425" s="17" t="str">
        <f t="shared" si="33"/>
        <v>1.666666667</v>
      </c>
      <c r="Y425" s="17" t="str">
        <f t="shared" si="9"/>
        <v>1</v>
      </c>
      <c r="Z425" s="17" t="s">
        <v>34</v>
      </c>
      <c r="AA425" s="17" t="str">
        <f t="shared" ref="AA425:AA426" si="368">IF(X425&lt;0.1,"Partial Discharges, ",IF(X425&gt;1,"Thermal  Fault &gt;300c and&lt;700 and &gt;700 c"))</f>
        <v>Thermal  Fault &gt;300c and&lt;700 and &gt;700 c</v>
      </c>
      <c r="AB425" s="17" t="s">
        <v>107</v>
      </c>
      <c r="AC425" s="17" t="str">
        <f t="shared" si="5"/>
        <v>1.666666667</v>
      </c>
      <c r="AD425" s="18" t="str">
        <f t="shared" si="10"/>
        <v>1</v>
      </c>
      <c r="AE425" s="17" t="str">
        <f t="shared" si="6"/>
        <v>1.6</v>
      </c>
      <c r="AF425" s="17" t="str">
        <f t="shared" si="11"/>
        <v>1</v>
      </c>
      <c r="AG425" s="17" t="str">
        <f t="shared" ref="AG425:AG426" si="369">IF(AC425&gt;1,"Thermal Decomposition, ",IF(AC425&lt;0.1,"Corona,Arching"))</f>
        <v>Thermal Decomposition, </v>
      </c>
      <c r="AH425" s="17" t="str">
        <f t="shared" si="326"/>
        <v>Arching</v>
      </c>
      <c r="AI425" s="17" t="str">
        <f t="shared" si="16"/>
        <v>Arching</v>
      </c>
      <c r="AJ425" s="17" t="str">
        <f t="shared" si="235"/>
        <v>Thermal Decomposition,corona </v>
      </c>
    </row>
    <row r="426" ht="12.75" customHeight="1">
      <c r="A426" s="11">
        <v>424.0</v>
      </c>
      <c r="B426" s="21" t="s">
        <v>304</v>
      </c>
      <c r="C426" s="21" t="s">
        <v>197</v>
      </c>
      <c r="D426" s="21" t="s">
        <v>187</v>
      </c>
      <c r="E426" s="21" t="s">
        <v>106</v>
      </c>
      <c r="F426" s="21">
        <v>1994.0</v>
      </c>
      <c r="G426" s="17">
        <v>7.2</v>
      </c>
      <c r="H426" s="16">
        <v>38.232</v>
      </c>
      <c r="I426" s="16">
        <v>11561.544</v>
      </c>
      <c r="J426" s="16">
        <v>57175.920000000006</v>
      </c>
      <c r="K426" s="16">
        <v>173.448</v>
      </c>
      <c r="L426" s="16">
        <v>2050.4159999999997</v>
      </c>
      <c r="M426" s="16">
        <v>94.60799999999999</v>
      </c>
      <c r="N426" s="16">
        <v>214.848</v>
      </c>
      <c r="O426" s="16">
        <v>5.0</v>
      </c>
      <c r="P426" s="16">
        <v>66.0</v>
      </c>
      <c r="Q426" s="17" t="str">
        <f t="shared" si="1"/>
        <v>13.2</v>
      </c>
      <c r="R426" s="17" t="str">
        <f t="shared" si="2"/>
        <v>2.474576271</v>
      </c>
      <c r="S426" s="17" t="str">
        <f t="shared" si="8"/>
        <v>0.0232722669</v>
      </c>
      <c r="T426" s="17" t="s">
        <v>30</v>
      </c>
      <c r="U426" s="17" t="str">
        <f t="shared" si="367"/>
        <v>Thermal Fault &lt;700c, thermal fault &gt;700c </v>
      </c>
      <c r="V426" s="17" t="str">
        <f t="shared" ref="V426:V428" si="370">IF(S426&lt;1,"Partial discharge, Normal ",IF(S426&gt;3,"Arching,Thermal  Fault &gt; 700 c"))</f>
        <v>Partial discharge, Normal </v>
      </c>
      <c r="W426" s="17" t="str">
        <f t="shared" si="3"/>
        <v>13.2</v>
      </c>
      <c r="X426" s="17" t="str">
        <f t="shared" si="33"/>
        <v>2.474576271</v>
      </c>
      <c r="Y426" s="17" t="str">
        <f t="shared" si="9"/>
        <v>0.0232722669</v>
      </c>
      <c r="Z426" s="17" t="str">
        <f t="shared" ref="Z426:Z427" si="371">IF(W426&gt;1,"Discharge of Low Energy,  ",IF(W426&lt;0.1,"Thermal  Fault&gt; 300c and&lt;700 c"))</f>
        <v>Discharge of Low Energy,  </v>
      </c>
      <c r="AA426" s="17" t="str">
        <f t="shared" si="368"/>
        <v>Thermal  Fault &gt;300c and&lt;700 and &gt;700 c</v>
      </c>
      <c r="AB426" s="17" t="str">
        <f>IF(Y426&lt;0.2,"Partial Discharges, ",IF(Y426&gt;1,"Thermal  Fault  &gt;700 c"))</f>
        <v>Partial Discharges, </v>
      </c>
      <c r="AC426" s="17" t="str">
        <f t="shared" si="5"/>
        <v>2.474576271</v>
      </c>
      <c r="AD426" s="18" t="str">
        <f t="shared" si="10"/>
        <v>13.2</v>
      </c>
      <c r="AE426" s="17" t="str">
        <f t="shared" si="6"/>
        <v>0.6976154236</v>
      </c>
      <c r="AF426" s="17" t="str">
        <f t="shared" si="11"/>
        <v>3.255272727</v>
      </c>
      <c r="AG426" s="17" t="str">
        <f t="shared" si="369"/>
        <v>Thermal Decomposition, </v>
      </c>
      <c r="AH426" s="17" t="str">
        <f t="shared" si="326"/>
        <v>Arching</v>
      </c>
      <c r="AI426" s="17" t="str">
        <f t="shared" si="16"/>
        <v>Arching</v>
      </c>
      <c r="AJ426" s="17" t="str">
        <f t="shared" si="235"/>
        <v>Thermal Decomposition,corona </v>
      </c>
    </row>
    <row r="427" ht="12.75" customHeight="1">
      <c r="A427" s="11">
        <v>425.0</v>
      </c>
      <c r="B427" s="21" t="s">
        <v>397</v>
      </c>
      <c r="C427" s="21" t="s">
        <v>40</v>
      </c>
      <c r="D427" s="21" t="s">
        <v>105</v>
      </c>
      <c r="E427" s="21" t="s">
        <v>106</v>
      </c>
      <c r="F427" s="21">
        <v>2009.0</v>
      </c>
      <c r="G427" s="17">
        <v>8.1</v>
      </c>
      <c r="H427" s="16">
        <v>11.501999999999999</v>
      </c>
      <c r="I427" s="16">
        <v>15246.711</v>
      </c>
      <c r="J427" s="16">
        <v>63559.242</v>
      </c>
      <c r="K427" s="16">
        <v>146.934</v>
      </c>
      <c r="L427" s="16">
        <v>1540.782</v>
      </c>
      <c r="M427" s="16">
        <v>7.0</v>
      </c>
      <c r="N427" s="16">
        <v>9.0</v>
      </c>
      <c r="O427" s="16">
        <v>4.0</v>
      </c>
      <c r="P427" s="16">
        <v>5.0</v>
      </c>
      <c r="Q427" s="17" t="str">
        <f t="shared" si="1"/>
        <v>1.25</v>
      </c>
      <c r="R427" s="17" t="str">
        <f t="shared" si="2"/>
        <v>0.6085898105</v>
      </c>
      <c r="S427" s="17" t="str">
        <f t="shared" si="8"/>
        <v>0.4444444444</v>
      </c>
      <c r="T427" s="17" t="s">
        <v>30</v>
      </c>
      <c r="U427" s="17" t="str">
        <f t="shared" ref="U427:U428" si="372">IF(R427&lt;0.1, "Partial discharge", "Low temperature thermal ")</f>
        <v>Low temperature thermal </v>
      </c>
      <c r="V427" s="17" t="str">
        <f t="shared" si="370"/>
        <v>Partial discharge, Normal </v>
      </c>
      <c r="W427" s="17" t="str">
        <f t="shared" si="3"/>
        <v>1.25</v>
      </c>
      <c r="X427" s="17" t="str">
        <f t="shared" si="33"/>
        <v>0.6085898105</v>
      </c>
      <c r="Y427" s="17" t="str">
        <f t="shared" si="9"/>
        <v>0.4444444444</v>
      </c>
      <c r="Z427" s="17" t="str">
        <f t="shared" si="371"/>
        <v>Discharge of Low Energy,  </v>
      </c>
      <c r="AA427" s="17" t="s">
        <v>34</v>
      </c>
      <c r="AB427" s="17" t="s">
        <v>107</v>
      </c>
      <c r="AC427" s="17" t="str">
        <f t="shared" si="5"/>
        <v>0.6085898105</v>
      </c>
      <c r="AD427" s="18" t="str">
        <f t="shared" si="10"/>
        <v>1.25</v>
      </c>
      <c r="AE427" s="17" t="str">
        <f t="shared" si="6"/>
        <v>0.7142857143</v>
      </c>
      <c r="AF427" s="17" t="str">
        <f t="shared" si="11"/>
        <v>1.8</v>
      </c>
      <c r="AG427" s="17" t="s">
        <v>30</v>
      </c>
      <c r="AH427" s="17" t="str">
        <f t="shared" si="326"/>
        <v>Arching</v>
      </c>
      <c r="AI427" s="17" t="str">
        <f t="shared" si="16"/>
        <v>Arching</v>
      </c>
      <c r="AJ427" s="17" t="str">
        <f t="shared" si="235"/>
        <v>Thermal Decomposition,corona </v>
      </c>
    </row>
    <row r="428" ht="12.75" customHeight="1">
      <c r="A428" s="11">
        <v>426.0</v>
      </c>
      <c r="B428" s="17" t="s">
        <v>398</v>
      </c>
      <c r="C428" s="21" t="s">
        <v>99</v>
      </c>
      <c r="D428" s="21" t="s">
        <v>105</v>
      </c>
      <c r="E428" s="21" t="s">
        <v>106</v>
      </c>
      <c r="F428" s="21">
        <v>2021.0</v>
      </c>
      <c r="G428" s="17">
        <v>8.5</v>
      </c>
      <c r="H428" s="16">
        <v>5.015</v>
      </c>
      <c r="I428" s="16">
        <v>13490.265</v>
      </c>
      <c r="J428" s="16">
        <v>69785.76499999998</v>
      </c>
      <c r="K428" s="16">
        <v>59.415000000000006</v>
      </c>
      <c r="L428" s="16">
        <v>952.765</v>
      </c>
      <c r="M428" s="16">
        <v>9.0</v>
      </c>
      <c r="N428" s="16">
        <v>9.0</v>
      </c>
      <c r="O428" s="16">
        <v>7.0</v>
      </c>
      <c r="P428" s="16">
        <v>6.0</v>
      </c>
      <c r="Q428" s="17" t="str">
        <f t="shared" si="1"/>
        <v>0.8571428571</v>
      </c>
      <c r="R428" s="17" t="str">
        <f t="shared" si="2"/>
        <v>1.794616152</v>
      </c>
      <c r="S428" s="17" t="str">
        <f t="shared" si="8"/>
        <v>0.7777777778</v>
      </c>
      <c r="T428" s="17" t="str">
        <f t="shared" ref="T428:T429" si="373">IF(Q428&lt;1,"Partial discharge,Low Temprature thermal fault,")</f>
        <v>Partial discharge,Low Temprature thermal fault,</v>
      </c>
      <c r="U428" s="17" t="str">
        <f t="shared" si="372"/>
        <v>Low temperature thermal </v>
      </c>
      <c r="V428" s="17" t="str">
        <f t="shared" si="370"/>
        <v>Partial discharge, Normal </v>
      </c>
      <c r="W428" s="17" t="str">
        <f t="shared" si="3"/>
        <v>0.8571428571</v>
      </c>
      <c r="X428" s="17" t="str">
        <f t="shared" si="33"/>
        <v>1.794616152</v>
      </c>
      <c r="Y428" s="17" t="str">
        <f t="shared" si="9"/>
        <v>0.7777777778</v>
      </c>
      <c r="Z428" s="17" t="s">
        <v>34</v>
      </c>
      <c r="AA428" s="17" t="str">
        <f t="shared" ref="AA428:AA434" si="374">IF(X428&lt;0.1,"Partial Discharges, ",IF(X428&gt;1,"Thermal  Fault &gt;300c and&lt;700 and &gt;700 c"))</f>
        <v>Thermal  Fault &gt;300c and&lt;700 and &gt;700 c</v>
      </c>
      <c r="AB428" s="17" t="s">
        <v>107</v>
      </c>
      <c r="AC428" s="17" t="str">
        <f t="shared" si="5"/>
        <v>1.794616152</v>
      </c>
      <c r="AD428" s="18" t="str">
        <f t="shared" si="10"/>
        <v>0.8571428571</v>
      </c>
      <c r="AE428" s="17" t="str">
        <f t="shared" si="6"/>
        <v>0.6666666667</v>
      </c>
      <c r="AF428" s="17" t="str">
        <f t="shared" si="11"/>
        <v>1.5</v>
      </c>
      <c r="AG428" s="17" t="str">
        <f t="shared" ref="AG428:AG434" si="375">IF(AC428&gt;1,"Thermal Decomposition, ",IF(AC428&lt;0.1,"Corona,Arching"))</f>
        <v>Thermal Decomposition, </v>
      </c>
      <c r="AH428" s="17" t="str">
        <f t="shared" si="326"/>
        <v>Arching</v>
      </c>
      <c r="AI428" s="17" t="str">
        <f t="shared" si="16"/>
        <v>Arching</v>
      </c>
      <c r="AJ428" s="17" t="str">
        <f t="shared" si="235"/>
        <v>Thermal Decomposition,corona </v>
      </c>
    </row>
    <row r="429" ht="12.75" customHeight="1">
      <c r="A429" s="11">
        <v>427.0</v>
      </c>
      <c r="B429" s="21" t="s">
        <v>399</v>
      </c>
      <c r="C429" s="21" t="s">
        <v>99</v>
      </c>
      <c r="D429" s="21" t="s">
        <v>105</v>
      </c>
      <c r="E429" s="21" t="s">
        <v>106</v>
      </c>
      <c r="F429" s="21">
        <v>1995.0</v>
      </c>
      <c r="G429" s="25">
        <v>7.4</v>
      </c>
      <c r="H429" s="16">
        <v>5.772</v>
      </c>
      <c r="I429" s="16">
        <v>10213.998000000001</v>
      </c>
      <c r="J429" s="16">
        <v>61413.414</v>
      </c>
      <c r="K429" s="16">
        <v>104.71</v>
      </c>
      <c r="L429" s="16">
        <v>1160.1720000000003</v>
      </c>
      <c r="M429" s="16">
        <v>11.1</v>
      </c>
      <c r="N429" s="16">
        <v>6.0</v>
      </c>
      <c r="O429" s="16">
        <v>9.0</v>
      </c>
      <c r="P429" s="16">
        <v>7.0</v>
      </c>
      <c r="Q429" s="17" t="str">
        <f t="shared" si="1"/>
        <v>0.7777777778</v>
      </c>
      <c r="R429" s="17" t="str">
        <f t="shared" si="2"/>
        <v>1.923076923</v>
      </c>
      <c r="S429" s="17" t="str">
        <f t="shared" si="8"/>
        <v>1.5</v>
      </c>
      <c r="T429" s="17" t="str">
        <f t="shared" si="373"/>
        <v>Partial discharge,Low Temprature thermal fault,</v>
      </c>
      <c r="U429" s="17" t="str">
        <f t="shared" ref="U429:U434" si="376">IF(R429&gt;1,"Thermal Fault &lt;700c, thermal fault &gt;700c ")</f>
        <v>Thermal Fault &lt;700c, thermal fault &gt;700c </v>
      </c>
      <c r="V429" s="17" t="s">
        <v>37</v>
      </c>
      <c r="W429" s="17" t="str">
        <f t="shared" si="3"/>
        <v>0.7777777778</v>
      </c>
      <c r="X429" s="17" t="str">
        <f t="shared" si="33"/>
        <v>1.923076923</v>
      </c>
      <c r="Y429" s="17" t="str">
        <f t="shared" si="9"/>
        <v>1.5</v>
      </c>
      <c r="Z429" s="17" t="s">
        <v>34</v>
      </c>
      <c r="AA429" s="17" t="str">
        <f t="shared" si="374"/>
        <v>Thermal  Fault &gt;300c and&lt;700 and &gt;700 c</v>
      </c>
      <c r="AB429" s="17" t="str">
        <f>IF(Y429&lt;0.2,"Partial Discharges, ",IF(Y429&gt;1,"Thermal  Fault  &gt;700 c"))</f>
        <v>Thermal  Fault  &gt;700 c</v>
      </c>
      <c r="AC429" s="17" t="str">
        <f t="shared" si="5"/>
        <v>1.923076923</v>
      </c>
      <c r="AD429" s="18" t="str">
        <f t="shared" si="10"/>
        <v>0.7777777778</v>
      </c>
      <c r="AE429" s="17" t="str">
        <f t="shared" si="6"/>
        <v>0.6306306306</v>
      </c>
      <c r="AF429" s="17" t="str">
        <f t="shared" si="11"/>
        <v>0.8571428571</v>
      </c>
      <c r="AG429" s="17" t="str">
        <f t="shared" si="375"/>
        <v>Thermal Decomposition, </v>
      </c>
      <c r="AH429" s="17" t="str">
        <f t="shared" si="326"/>
        <v>Arching</v>
      </c>
      <c r="AI429" s="17" t="str">
        <f t="shared" si="16"/>
        <v>Arching</v>
      </c>
      <c r="AJ429" s="17" t="str">
        <f t="shared" si="235"/>
        <v>Thermal Decomposition,corona </v>
      </c>
    </row>
    <row r="430" ht="12.75" customHeight="1">
      <c r="A430" s="11">
        <v>428.0</v>
      </c>
      <c r="B430" s="21" t="s">
        <v>400</v>
      </c>
      <c r="C430" s="21" t="s">
        <v>40</v>
      </c>
      <c r="D430" s="21" t="s">
        <v>105</v>
      </c>
      <c r="E430" s="21" t="s">
        <v>106</v>
      </c>
      <c r="F430" s="21">
        <v>1995.0</v>
      </c>
      <c r="G430" s="17">
        <v>7.5</v>
      </c>
      <c r="H430" s="16">
        <v>4.05</v>
      </c>
      <c r="I430" s="16">
        <v>13410.675000000001</v>
      </c>
      <c r="J430" s="16">
        <v>58000.649999999994</v>
      </c>
      <c r="K430" s="16">
        <v>216.67499999999998</v>
      </c>
      <c r="L430" s="16">
        <v>2262.15</v>
      </c>
      <c r="M430" s="16">
        <v>15.0</v>
      </c>
      <c r="N430" s="16">
        <v>8.0</v>
      </c>
      <c r="O430" s="16">
        <v>5.0</v>
      </c>
      <c r="P430" s="16">
        <v>8.0</v>
      </c>
      <c r="Q430" s="17" t="str">
        <f t="shared" si="1"/>
        <v>1.6</v>
      </c>
      <c r="R430" s="17" t="str">
        <f t="shared" si="2"/>
        <v>3.703703704</v>
      </c>
      <c r="S430" s="17" t="str">
        <f t="shared" si="8"/>
        <v>0.625</v>
      </c>
      <c r="T430" s="17" t="s">
        <v>30</v>
      </c>
      <c r="U430" s="17" t="str">
        <f t="shared" si="376"/>
        <v>Thermal Fault &lt;700c, thermal fault &gt;700c </v>
      </c>
      <c r="V430" s="17" t="str">
        <f t="shared" ref="V430:V433" si="377">IF(S430&lt;1,"Partial discharge, Normal ",IF(S430&gt;3,"Arching,Thermal  Fault &gt; 700 c"))</f>
        <v>Partial discharge, Normal </v>
      </c>
      <c r="W430" s="17" t="str">
        <f t="shared" si="3"/>
        <v>1.6</v>
      </c>
      <c r="X430" s="17" t="str">
        <f t="shared" si="33"/>
        <v>3.703703704</v>
      </c>
      <c r="Y430" s="17" t="str">
        <f t="shared" si="9"/>
        <v>0.625</v>
      </c>
      <c r="Z430" s="17" t="str">
        <f t="shared" ref="Z430:Z432" si="378">IF(W430&gt;1,"Discharge of Low Energy,  ",IF(W430&lt;0.1,"Thermal  Fault&gt; 300c and&lt;700 c"))</f>
        <v>Discharge of Low Energy,  </v>
      </c>
      <c r="AA430" s="17" t="str">
        <f t="shared" si="374"/>
        <v>Thermal  Fault &gt;300c and&lt;700 and &gt;700 c</v>
      </c>
      <c r="AB430" s="17" t="s">
        <v>107</v>
      </c>
      <c r="AC430" s="17" t="str">
        <f t="shared" si="5"/>
        <v>3.703703704</v>
      </c>
      <c r="AD430" s="18" t="str">
        <f t="shared" si="10"/>
        <v>1.6</v>
      </c>
      <c r="AE430" s="17" t="str">
        <f t="shared" si="6"/>
        <v>0.5333333333</v>
      </c>
      <c r="AF430" s="17" t="str">
        <f t="shared" si="11"/>
        <v>1</v>
      </c>
      <c r="AG430" s="17" t="str">
        <f t="shared" si="375"/>
        <v>Thermal Decomposition, </v>
      </c>
      <c r="AH430" s="17" t="str">
        <f t="shared" si="326"/>
        <v>Arching</v>
      </c>
      <c r="AI430" s="17" t="str">
        <f t="shared" si="16"/>
        <v>Arching</v>
      </c>
      <c r="AJ430" s="17" t="str">
        <f t="shared" si="235"/>
        <v>Thermal Decomposition,corona </v>
      </c>
    </row>
    <row r="431" ht="12.75" customHeight="1">
      <c r="A431" s="11">
        <v>429.0</v>
      </c>
      <c r="B431" s="21" t="s">
        <v>401</v>
      </c>
      <c r="C431" s="21" t="s">
        <v>40</v>
      </c>
      <c r="D431" s="21" t="s">
        <v>105</v>
      </c>
      <c r="E431" s="21" t="s">
        <v>106</v>
      </c>
      <c r="F431" s="21">
        <v>1995.0</v>
      </c>
      <c r="G431" s="17">
        <v>7.2</v>
      </c>
      <c r="H431" s="16">
        <v>8.064</v>
      </c>
      <c r="I431" s="16">
        <v>10588.032000000001</v>
      </c>
      <c r="J431" s="16">
        <v>58261.032</v>
      </c>
      <c r="K431" s="16">
        <v>253.07999999999998</v>
      </c>
      <c r="L431" s="16">
        <v>1498.1040000000003</v>
      </c>
      <c r="M431" s="16">
        <v>77.83200000000001</v>
      </c>
      <c r="N431" s="16">
        <v>65.232</v>
      </c>
      <c r="O431" s="16">
        <v>491.976</v>
      </c>
      <c r="P431" s="16">
        <v>15.336</v>
      </c>
      <c r="Q431" s="17" t="str">
        <f t="shared" si="1"/>
        <v>0.0311722523</v>
      </c>
      <c r="R431" s="17" t="str">
        <f t="shared" si="2"/>
        <v>9.651785714</v>
      </c>
      <c r="S431" s="17" t="str">
        <f t="shared" si="8"/>
        <v>7.541942605</v>
      </c>
      <c r="T431" s="17" t="str">
        <f>IF(Q431&lt;1,"Partial discharge,Low Temprature thermal fault,")</f>
        <v>Partial discharge,Low Temprature thermal fault,</v>
      </c>
      <c r="U431" s="17" t="str">
        <f t="shared" si="376"/>
        <v>Thermal Fault &lt;700c, thermal fault &gt;700c </v>
      </c>
      <c r="V431" s="17" t="str">
        <f t="shared" si="377"/>
        <v>Arching,Thermal  Fault &gt; 700 c</v>
      </c>
      <c r="W431" s="17" t="str">
        <f t="shared" si="3"/>
        <v>0.0311722523</v>
      </c>
      <c r="X431" s="17" t="str">
        <f t="shared" si="33"/>
        <v>9.651785714</v>
      </c>
      <c r="Y431" s="17" t="str">
        <f t="shared" si="9"/>
        <v>7.541942605</v>
      </c>
      <c r="Z431" s="17" t="str">
        <f t="shared" si="378"/>
        <v>Thermal  Fault&gt; 300c and&lt;700 c</v>
      </c>
      <c r="AA431" s="17" t="str">
        <f t="shared" si="374"/>
        <v>Thermal  Fault &gt;300c and&lt;700 and &gt;700 c</v>
      </c>
      <c r="AB431" s="17" t="str">
        <f>IF(Y431&lt;0.2,"Partial Discharges, ",IF(Y431&gt;1,"Thermal  Fault  &gt;700 c"))</f>
        <v>Thermal  Fault  &gt;700 c</v>
      </c>
      <c r="AC431" s="17" t="str">
        <f t="shared" si="5"/>
        <v>9.651785714</v>
      </c>
      <c r="AD431" s="18" t="str">
        <f t="shared" si="10"/>
        <v>0.0311722523</v>
      </c>
      <c r="AE431" s="17" t="str">
        <f t="shared" si="6"/>
        <v>0.197039778</v>
      </c>
      <c r="AF431" s="17" t="str">
        <f t="shared" si="11"/>
        <v>4.253521127</v>
      </c>
      <c r="AG431" s="17" t="str">
        <f t="shared" si="375"/>
        <v>Thermal Decomposition, </v>
      </c>
      <c r="AH431" s="17" t="str">
        <f t="shared" si="326"/>
        <v>Thermal Decomposition, </v>
      </c>
      <c r="AI431" s="17" t="str">
        <f t="shared" si="16"/>
        <v>Thermal Decomposition,corona </v>
      </c>
      <c r="AJ431" s="17" t="str">
        <f t="shared" si="235"/>
        <v>Thermal Decomposition,corona </v>
      </c>
    </row>
    <row r="432" ht="12.75" customHeight="1">
      <c r="A432" s="11">
        <v>430.0</v>
      </c>
      <c r="B432" s="21" t="s">
        <v>402</v>
      </c>
      <c r="C432" s="21" t="s">
        <v>40</v>
      </c>
      <c r="D432" s="21" t="s">
        <v>105</v>
      </c>
      <c r="E432" s="21" t="s">
        <v>403</v>
      </c>
      <c r="F432" s="21">
        <v>2012.0</v>
      </c>
      <c r="G432" s="17">
        <v>7.8</v>
      </c>
      <c r="H432" s="16">
        <v>3.0</v>
      </c>
      <c r="I432" s="16">
        <v>11469.51</v>
      </c>
      <c r="J432" s="16">
        <v>64792.416000000005</v>
      </c>
      <c r="K432" s="16">
        <v>67.39200000000001</v>
      </c>
      <c r="L432" s="16">
        <v>786.162</v>
      </c>
      <c r="M432" s="16">
        <v>4.0</v>
      </c>
      <c r="N432" s="16">
        <v>8.0</v>
      </c>
      <c r="O432" s="16">
        <v>5.0</v>
      </c>
      <c r="P432" s="16">
        <v>9.0</v>
      </c>
      <c r="Q432" s="17" t="str">
        <f t="shared" si="1"/>
        <v>1.8</v>
      </c>
      <c r="R432" s="17" t="str">
        <f t="shared" si="2"/>
        <v>1.333333333</v>
      </c>
      <c r="S432" s="17" t="str">
        <f t="shared" si="8"/>
        <v>0.625</v>
      </c>
      <c r="T432" s="17" t="s">
        <v>30</v>
      </c>
      <c r="U432" s="17" t="str">
        <f t="shared" si="376"/>
        <v>Thermal Fault &lt;700c, thermal fault &gt;700c </v>
      </c>
      <c r="V432" s="17" t="str">
        <f t="shared" si="377"/>
        <v>Partial discharge, Normal </v>
      </c>
      <c r="W432" s="17" t="str">
        <f t="shared" si="3"/>
        <v>1.8</v>
      </c>
      <c r="X432" s="17" t="str">
        <f t="shared" si="33"/>
        <v>1.333333333</v>
      </c>
      <c r="Y432" s="17" t="str">
        <f t="shared" si="9"/>
        <v>0.625</v>
      </c>
      <c r="Z432" s="17" t="str">
        <f t="shared" si="378"/>
        <v>Discharge of Low Energy,  </v>
      </c>
      <c r="AA432" s="17" t="str">
        <f t="shared" si="374"/>
        <v>Thermal  Fault &gt;300c and&lt;700 and &gt;700 c</v>
      </c>
      <c r="AB432" s="17" t="s">
        <v>107</v>
      </c>
      <c r="AC432" s="17" t="str">
        <f t="shared" si="5"/>
        <v>1.333333333</v>
      </c>
      <c r="AD432" s="18" t="str">
        <f t="shared" si="10"/>
        <v>1.8</v>
      </c>
      <c r="AE432" s="17" t="str">
        <f t="shared" si="6"/>
        <v>2.25</v>
      </c>
      <c r="AF432" s="17" t="str">
        <f t="shared" si="11"/>
        <v>0.8888888889</v>
      </c>
      <c r="AG432" s="17" t="str">
        <f t="shared" si="375"/>
        <v>Thermal Decomposition, </v>
      </c>
      <c r="AH432" s="17" t="str">
        <f t="shared" si="326"/>
        <v>Arching</v>
      </c>
      <c r="AI432" s="17" t="str">
        <f t="shared" si="16"/>
        <v>Arching</v>
      </c>
      <c r="AJ432" s="17" t="str">
        <f t="shared" si="235"/>
        <v>Thermal Decomposition,corona </v>
      </c>
    </row>
    <row r="433" ht="12.75" customHeight="1">
      <c r="A433" s="11">
        <v>431.0</v>
      </c>
      <c r="B433" s="21" t="s">
        <v>404</v>
      </c>
      <c r="C433" s="21" t="s">
        <v>40</v>
      </c>
      <c r="D433" s="21" t="s">
        <v>105</v>
      </c>
      <c r="E433" s="21" t="s">
        <v>403</v>
      </c>
      <c r="F433" s="21">
        <v>2012.0</v>
      </c>
      <c r="G433" s="17">
        <v>8.0</v>
      </c>
      <c r="H433" s="16">
        <v>4.0</v>
      </c>
      <c r="I433" s="16">
        <v>12660.880000000001</v>
      </c>
      <c r="J433" s="16">
        <v>65375.840000000004</v>
      </c>
      <c r="K433" s="16">
        <v>88.72</v>
      </c>
      <c r="L433" s="16">
        <v>820.64</v>
      </c>
      <c r="M433" s="16">
        <v>7.0</v>
      </c>
      <c r="N433" s="16">
        <v>9.0</v>
      </c>
      <c r="O433" s="16">
        <v>7.0</v>
      </c>
      <c r="P433" s="16">
        <v>6.0</v>
      </c>
      <c r="Q433" s="17" t="str">
        <f t="shared" si="1"/>
        <v>0.8571428571</v>
      </c>
      <c r="R433" s="17" t="str">
        <f t="shared" si="2"/>
        <v>1.75</v>
      </c>
      <c r="S433" s="17" t="str">
        <f t="shared" si="8"/>
        <v>0.7777777778</v>
      </c>
      <c r="T433" s="17" t="str">
        <f>IF(Q433&lt;1,"Partial discharge,Low Temprature thermal fault,")</f>
        <v>Partial discharge,Low Temprature thermal fault,</v>
      </c>
      <c r="U433" s="17" t="str">
        <f t="shared" si="376"/>
        <v>Thermal Fault &lt;700c, thermal fault &gt;700c </v>
      </c>
      <c r="V433" s="17" t="str">
        <f t="shared" si="377"/>
        <v>Partial discharge, Normal </v>
      </c>
      <c r="W433" s="17" t="str">
        <f t="shared" si="3"/>
        <v>0.8571428571</v>
      </c>
      <c r="X433" s="17" t="str">
        <f t="shared" si="33"/>
        <v>1.75</v>
      </c>
      <c r="Y433" s="17" t="str">
        <f t="shared" si="9"/>
        <v>0.7777777778</v>
      </c>
      <c r="Z433" s="17" t="s">
        <v>34</v>
      </c>
      <c r="AA433" s="17" t="str">
        <f t="shared" si="374"/>
        <v>Thermal  Fault &gt;300c and&lt;700 and &gt;700 c</v>
      </c>
      <c r="AB433" s="17" t="s">
        <v>107</v>
      </c>
      <c r="AC433" s="17" t="str">
        <f t="shared" si="5"/>
        <v>1.75</v>
      </c>
      <c r="AD433" s="18" t="str">
        <f t="shared" si="10"/>
        <v>0.8571428571</v>
      </c>
      <c r="AE433" s="17" t="str">
        <f t="shared" si="6"/>
        <v>0.8571428571</v>
      </c>
      <c r="AF433" s="17" t="str">
        <f t="shared" si="11"/>
        <v>1.5</v>
      </c>
      <c r="AG433" s="17" t="str">
        <f t="shared" si="375"/>
        <v>Thermal Decomposition, </v>
      </c>
      <c r="AH433" s="17" t="str">
        <f t="shared" si="326"/>
        <v>Arching</v>
      </c>
      <c r="AI433" s="17" t="str">
        <f t="shared" si="16"/>
        <v>Arching</v>
      </c>
      <c r="AJ433" s="17" t="str">
        <f t="shared" si="235"/>
        <v>Thermal Decomposition,corona </v>
      </c>
    </row>
    <row r="434" ht="12.75" customHeight="1">
      <c r="A434" s="11">
        <v>432.0</v>
      </c>
      <c r="B434" s="21" t="s">
        <v>155</v>
      </c>
      <c r="C434" s="21" t="s">
        <v>99</v>
      </c>
      <c r="D434" s="21" t="s">
        <v>405</v>
      </c>
      <c r="E434" s="21" t="s">
        <v>406</v>
      </c>
      <c r="F434" s="21" t="s">
        <v>155</v>
      </c>
      <c r="G434" s="17">
        <v>8.0</v>
      </c>
      <c r="H434" s="16">
        <v>4.08</v>
      </c>
      <c r="I434" s="16">
        <v>14673.2</v>
      </c>
      <c r="J434" s="16">
        <v>62152.96</v>
      </c>
      <c r="K434" s="16">
        <v>205.92000000000002</v>
      </c>
      <c r="L434" s="16">
        <v>2485.12</v>
      </c>
      <c r="M434" s="16">
        <v>10.24</v>
      </c>
      <c r="N434" s="16">
        <v>2.7199999999999998</v>
      </c>
      <c r="O434" s="16">
        <v>4.0</v>
      </c>
      <c r="P434" s="16">
        <v>7.0</v>
      </c>
      <c r="Q434" s="17" t="str">
        <f t="shared" si="1"/>
        <v>1.75</v>
      </c>
      <c r="R434" s="17" t="str">
        <f t="shared" si="2"/>
        <v>2.509803922</v>
      </c>
      <c r="S434" s="17" t="str">
        <f t="shared" si="8"/>
        <v>1.470588235</v>
      </c>
      <c r="T434" s="17" t="s">
        <v>30</v>
      </c>
      <c r="U434" s="17" t="str">
        <f t="shared" si="376"/>
        <v>Thermal Fault &lt;700c, thermal fault &gt;700c </v>
      </c>
      <c r="V434" s="17" t="s">
        <v>37</v>
      </c>
      <c r="W434" s="17" t="str">
        <f t="shared" si="3"/>
        <v>1.75</v>
      </c>
      <c r="X434" s="17" t="str">
        <f t="shared" si="33"/>
        <v>2.509803922</v>
      </c>
      <c r="Y434" s="17" t="str">
        <f t="shared" si="9"/>
        <v>1.470588235</v>
      </c>
      <c r="Z434" s="17" t="str">
        <f t="shared" ref="Z434:Z438" si="379">IF(W434&gt;1,"Discharge of Low Energy,  ",IF(W434&lt;0.1,"Thermal  Fault&gt; 300c and&lt;700 c"))</f>
        <v>Discharge of Low Energy,  </v>
      </c>
      <c r="AA434" s="17" t="str">
        <f t="shared" si="374"/>
        <v>Thermal  Fault &gt;300c and&lt;700 and &gt;700 c</v>
      </c>
      <c r="AB434" s="17" t="str">
        <f t="shared" ref="AB434:AB435" si="380">IF(Y434&lt;0.2,"Partial Discharges, ",IF(Y434&gt;1,"Thermal  Fault  &gt;700 c"))</f>
        <v>Thermal  Fault  &gt;700 c</v>
      </c>
      <c r="AC434" s="17" t="str">
        <f t="shared" si="5"/>
        <v>2.509803922</v>
      </c>
      <c r="AD434" s="18" t="str">
        <f t="shared" si="10"/>
        <v>1.75</v>
      </c>
      <c r="AE434" s="17" t="str">
        <f t="shared" si="6"/>
        <v>0.68359375</v>
      </c>
      <c r="AF434" s="17" t="str">
        <f t="shared" si="11"/>
        <v>0.3885714286</v>
      </c>
      <c r="AG434" s="17" t="str">
        <f t="shared" si="375"/>
        <v>Thermal Decomposition, </v>
      </c>
      <c r="AH434" s="17" t="str">
        <f t="shared" si="326"/>
        <v>Arching</v>
      </c>
      <c r="AI434" s="17" t="str">
        <f t="shared" si="16"/>
        <v>Arching</v>
      </c>
      <c r="AJ434" s="17" t="str">
        <f t="shared" si="235"/>
        <v>Arching</v>
      </c>
    </row>
    <row r="435" ht="12.75" customHeight="1">
      <c r="A435" s="11">
        <v>433.0</v>
      </c>
      <c r="B435" s="21" t="s">
        <v>155</v>
      </c>
      <c r="C435" s="21" t="s">
        <v>99</v>
      </c>
      <c r="D435" s="21" t="s">
        <v>405</v>
      </c>
      <c r="E435" s="21" t="s">
        <v>406</v>
      </c>
      <c r="F435" s="21" t="s">
        <v>155</v>
      </c>
      <c r="G435" s="17">
        <v>8.2</v>
      </c>
      <c r="H435" s="16">
        <v>88.55999999999999</v>
      </c>
      <c r="I435" s="16">
        <v>15176.477999999997</v>
      </c>
      <c r="J435" s="16">
        <v>63948.02799999999</v>
      </c>
      <c r="K435" s="16">
        <v>182.36799999999997</v>
      </c>
      <c r="L435" s="16">
        <v>1793.422</v>
      </c>
      <c r="M435" s="16">
        <v>43.541999999999994</v>
      </c>
      <c r="N435" s="16">
        <v>18.86</v>
      </c>
      <c r="O435" s="16">
        <v>39.77</v>
      </c>
      <c r="P435" s="16">
        <v>62.566</v>
      </c>
      <c r="Q435" s="17" t="str">
        <f t="shared" si="1"/>
        <v>1.573195876</v>
      </c>
      <c r="R435" s="17" t="str">
        <f t="shared" si="2"/>
        <v>0.4916666667</v>
      </c>
      <c r="S435" s="17" t="str">
        <f t="shared" si="8"/>
        <v>2.108695652</v>
      </c>
      <c r="T435" s="17" t="s">
        <v>30</v>
      </c>
      <c r="U435" s="17" t="s">
        <v>31</v>
      </c>
      <c r="V435" s="17" t="s">
        <v>37</v>
      </c>
      <c r="W435" s="17" t="str">
        <f t="shared" si="3"/>
        <v>1.573195876</v>
      </c>
      <c r="X435" s="17" t="str">
        <f t="shared" si="33"/>
        <v>0.4916666667</v>
      </c>
      <c r="Y435" s="17" t="str">
        <f t="shared" si="9"/>
        <v>2.108695652</v>
      </c>
      <c r="Z435" s="17" t="str">
        <f t="shared" si="379"/>
        <v>Discharge of Low Energy,  </v>
      </c>
      <c r="AA435" s="17" t="s">
        <v>34</v>
      </c>
      <c r="AB435" s="17" t="str">
        <f t="shared" si="380"/>
        <v>Thermal  Fault  &gt;700 c</v>
      </c>
      <c r="AC435" s="17" t="str">
        <f t="shared" si="5"/>
        <v>0.4916666667</v>
      </c>
      <c r="AD435" s="18" t="str">
        <f t="shared" si="10"/>
        <v>1.573195876</v>
      </c>
      <c r="AE435" s="17" t="str">
        <f t="shared" si="6"/>
        <v>1.436911488</v>
      </c>
      <c r="AF435" s="17" t="str">
        <f t="shared" si="11"/>
        <v>0.3014416776</v>
      </c>
      <c r="AG435" s="17" t="s">
        <v>30</v>
      </c>
      <c r="AH435" s="17" t="str">
        <f t="shared" si="326"/>
        <v>Arching</v>
      </c>
      <c r="AI435" s="17" t="str">
        <f t="shared" si="16"/>
        <v>Arching</v>
      </c>
      <c r="AJ435" s="17" t="str">
        <f t="shared" si="235"/>
        <v>Arching</v>
      </c>
    </row>
    <row r="436" ht="12.75" customHeight="1">
      <c r="A436" s="11">
        <v>434.0</v>
      </c>
      <c r="B436" s="21">
        <v>26898.0</v>
      </c>
      <c r="C436" s="21" t="s">
        <v>99</v>
      </c>
      <c r="D436" s="21" t="s">
        <v>405</v>
      </c>
      <c r="E436" s="21" t="s">
        <v>407</v>
      </c>
      <c r="F436" s="21">
        <v>2016.0</v>
      </c>
      <c r="G436" s="17">
        <v>7.6</v>
      </c>
      <c r="H436" s="16">
        <v>7.068</v>
      </c>
      <c r="I436" s="16">
        <v>11234.472</v>
      </c>
      <c r="J436" s="16">
        <v>63546.791999999994</v>
      </c>
      <c r="K436" s="16">
        <v>75.46799999999999</v>
      </c>
      <c r="L436" s="16">
        <v>689.928</v>
      </c>
      <c r="M436" s="16">
        <v>6.5360000000000005</v>
      </c>
      <c r="N436" s="16">
        <v>8.0</v>
      </c>
      <c r="O436" s="16">
        <v>4.788</v>
      </c>
      <c r="P436" s="16">
        <v>9.0</v>
      </c>
      <c r="Q436" s="17" t="str">
        <f t="shared" si="1"/>
        <v>1.879699248</v>
      </c>
      <c r="R436" s="17" t="str">
        <f t="shared" si="2"/>
        <v>0.9247311828</v>
      </c>
      <c r="S436" s="17" t="str">
        <f t="shared" si="8"/>
        <v>0.5985</v>
      </c>
      <c r="T436" s="17" t="s">
        <v>30</v>
      </c>
      <c r="U436" s="17" t="s">
        <v>31</v>
      </c>
      <c r="V436" s="17" t="str">
        <f t="shared" ref="V436:V440" si="381">IF(S436&lt;1,"Partial discharge, Normal ",IF(S436&gt;3,"Arching,Thermal  Fault &gt; 700 c"))</f>
        <v>Partial discharge, Normal </v>
      </c>
      <c r="W436" s="17" t="str">
        <f t="shared" si="3"/>
        <v>1.879699248</v>
      </c>
      <c r="X436" s="17" t="str">
        <f t="shared" si="33"/>
        <v>0.9247311828</v>
      </c>
      <c r="Y436" s="17" t="str">
        <f t="shared" si="9"/>
        <v>0.5985</v>
      </c>
      <c r="Z436" s="17" t="str">
        <f t="shared" si="379"/>
        <v>Discharge of Low Energy,  </v>
      </c>
      <c r="AA436" s="17" t="s">
        <v>34</v>
      </c>
      <c r="AB436" s="17" t="s">
        <v>107</v>
      </c>
      <c r="AC436" s="17" t="str">
        <f t="shared" si="5"/>
        <v>0.9247311828</v>
      </c>
      <c r="AD436" s="18" t="str">
        <f t="shared" si="10"/>
        <v>1.879699248</v>
      </c>
      <c r="AE436" s="17" t="str">
        <f t="shared" si="6"/>
        <v>1.376988984</v>
      </c>
      <c r="AF436" s="17" t="str">
        <f t="shared" si="11"/>
        <v>0.8888888889</v>
      </c>
      <c r="AG436" s="17" t="s">
        <v>30</v>
      </c>
      <c r="AH436" s="17" t="str">
        <f t="shared" si="326"/>
        <v>Arching</v>
      </c>
      <c r="AI436" s="17" t="str">
        <f t="shared" si="16"/>
        <v>Arching</v>
      </c>
      <c r="AJ436" s="17" t="str">
        <f t="shared" si="235"/>
        <v>Thermal Decomposition,corona </v>
      </c>
    </row>
    <row r="437" ht="12.75" customHeight="1">
      <c r="A437" s="11">
        <v>435.0</v>
      </c>
      <c r="B437" s="21">
        <v>26898.0</v>
      </c>
      <c r="C437" s="21" t="s">
        <v>99</v>
      </c>
      <c r="D437" s="21" t="s">
        <v>405</v>
      </c>
      <c r="E437" s="21" t="s">
        <v>407</v>
      </c>
      <c r="F437" s="21">
        <v>2016.0</v>
      </c>
      <c r="G437" s="17">
        <v>7.4</v>
      </c>
      <c r="H437" s="16">
        <v>7.548000000000001</v>
      </c>
      <c r="I437" s="16">
        <v>11988.592</v>
      </c>
      <c r="J437" s="16">
        <v>60912.508</v>
      </c>
      <c r="K437" s="16">
        <v>66.748</v>
      </c>
      <c r="L437" s="16">
        <v>75.702</v>
      </c>
      <c r="M437" s="16">
        <v>9.102</v>
      </c>
      <c r="N437" s="16">
        <v>9.0</v>
      </c>
      <c r="O437" s="16">
        <v>7.400000000000001</v>
      </c>
      <c r="P437" s="16">
        <v>11.617999999999999</v>
      </c>
      <c r="Q437" s="17" t="str">
        <f t="shared" si="1"/>
        <v>1.57</v>
      </c>
      <c r="R437" s="17" t="str">
        <f t="shared" si="2"/>
        <v>1.205882353</v>
      </c>
      <c r="S437" s="17" t="str">
        <f t="shared" si="8"/>
        <v>0.8222222222</v>
      </c>
      <c r="T437" s="17" t="s">
        <v>30</v>
      </c>
      <c r="U437" s="17" t="str">
        <f t="shared" ref="U437:U441" si="382">IF(R437&gt;1,"Thermal Fault &lt;700c, thermal fault &gt;700c ")</f>
        <v>Thermal Fault &lt;700c, thermal fault &gt;700c </v>
      </c>
      <c r="V437" s="17" t="str">
        <f t="shared" si="381"/>
        <v>Partial discharge, Normal </v>
      </c>
      <c r="W437" s="17" t="str">
        <f t="shared" si="3"/>
        <v>1.57</v>
      </c>
      <c r="X437" s="17" t="str">
        <f t="shared" si="33"/>
        <v>1.205882353</v>
      </c>
      <c r="Y437" s="17" t="str">
        <f t="shared" si="9"/>
        <v>0.8222222222</v>
      </c>
      <c r="Z437" s="17" t="str">
        <f t="shared" si="379"/>
        <v>Discharge of Low Energy,  </v>
      </c>
      <c r="AA437" s="17" t="str">
        <f t="shared" ref="AA437:AA442" si="383">IF(X437&lt;0.1,"Partial Discharges, ",IF(X437&gt;1,"Thermal  Fault &gt;300c and&lt;700 and &gt;700 c"))</f>
        <v>Thermal  Fault &gt;300c and&lt;700 and &gt;700 c</v>
      </c>
      <c r="AB437" s="17" t="s">
        <v>107</v>
      </c>
      <c r="AC437" s="17" t="str">
        <f t="shared" si="5"/>
        <v>1.205882353</v>
      </c>
      <c r="AD437" s="18" t="str">
        <f t="shared" si="10"/>
        <v>1.57</v>
      </c>
      <c r="AE437" s="17" t="str">
        <f t="shared" si="6"/>
        <v>1.276422764</v>
      </c>
      <c r="AF437" s="17" t="str">
        <f t="shared" si="11"/>
        <v>0.7746600103</v>
      </c>
      <c r="AG437" s="17" t="str">
        <f t="shared" ref="AG437:AG442" si="384">IF(AC437&gt;1,"Thermal Decomposition, ",IF(AC437&lt;0.1,"Corona,Arching"))</f>
        <v>Thermal Decomposition, </v>
      </c>
      <c r="AH437" s="17" t="str">
        <f t="shared" si="326"/>
        <v>Arching</v>
      </c>
      <c r="AI437" s="17" t="str">
        <f t="shared" si="16"/>
        <v>Arching</v>
      </c>
      <c r="AJ437" s="17" t="str">
        <f t="shared" si="235"/>
        <v>Thermal Decomposition,corona </v>
      </c>
    </row>
    <row r="438" ht="12.75" customHeight="1">
      <c r="A438" s="11">
        <v>436.0</v>
      </c>
      <c r="B438" s="21" t="s">
        <v>199</v>
      </c>
      <c r="C438" s="21" t="s">
        <v>99</v>
      </c>
      <c r="D438" s="21" t="s">
        <v>187</v>
      </c>
      <c r="E438" s="21" t="s">
        <v>200</v>
      </c>
      <c r="F438" s="21">
        <v>2012.0</v>
      </c>
      <c r="G438" s="17">
        <v>8.0</v>
      </c>
      <c r="H438" s="16">
        <v>12.479999999999999</v>
      </c>
      <c r="I438" s="16">
        <v>12922.16</v>
      </c>
      <c r="J438" s="16">
        <v>63866.0</v>
      </c>
      <c r="K438" s="16">
        <v>182.88</v>
      </c>
      <c r="L438" s="16">
        <v>2070.7999999999997</v>
      </c>
      <c r="M438" s="16">
        <v>94.16</v>
      </c>
      <c r="N438" s="16">
        <v>16.400000000000002</v>
      </c>
      <c r="O438" s="16">
        <v>118.48</v>
      </c>
      <c r="P438" s="16">
        <v>7.0</v>
      </c>
      <c r="Q438" s="17" t="str">
        <f t="shared" si="1"/>
        <v>0.05908170155</v>
      </c>
      <c r="R438" s="17" t="str">
        <f t="shared" si="2"/>
        <v>7.544871795</v>
      </c>
      <c r="S438" s="17" t="str">
        <f t="shared" si="8"/>
        <v>7.224390244</v>
      </c>
      <c r="T438" s="17" t="str">
        <f t="shared" ref="T438:T440" si="385">IF(Q438&lt;1,"Partial discharge,Low Temprature thermal fault,")</f>
        <v>Partial discharge,Low Temprature thermal fault,</v>
      </c>
      <c r="U438" s="17" t="str">
        <f t="shared" si="382"/>
        <v>Thermal Fault &lt;700c, thermal fault &gt;700c </v>
      </c>
      <c r="V438" s="17" t="str">
        <f t="shared" si="381"/>
        <v>Arching,Thermal  Fault &gt; 700 c</v>
      </c>
      <c r="W438" s="17" t="str">
        <f t="shared" si="3"/>
        <v>0.05908170155</v>
      </c>
      <c r="X438" s="17" t="str">
        <f t="shared" si="33"/>
        <v>7.544871795</v>
      </c>
      <c r="Y438" s="17" t="str">
        <f t="shared" si="9"/>
        <v>7.224390244</v>
      </c>
      <c r="Z438" s="17" t="str">
        <f t="shared" si="379"/>
        <v>Thermal  Fault&gt; 300c and&lt;700 c</v>
      </c>
      <c r="AA438" s="17" t="str">
        <f t="shared" si="383"/>
        <v>Thermal  Fault &gt;300c and&lt;700 and &gt;700 c</v>
      </c>
      <c r="AB438" s="17" t="str">
        <f t="shared" ref="AB438:AB442" si="386">IF(Y438&lt;0.2,"Partial Discharges, ",IF(Y438&gt;1,"Thermal  Fault  &gt;700 c"))</f>
        <v>Thermal  Fault  &gt;700 c</v>
      </c>
      <c r="AC438" s="17" t="str">
        <f t="shared" si="5"/>
        <v>7.544871795</v>
      </c>
      <c r="AD438" s="18" t="str">
        <f t="shared" si="10"/>
        <v>0.05908170155</v>
      </c>
      <c r="AE438" s="17" t="str">
        <f t="shared" si="6"/>
        <v>0.0743415463</v>
      </c>
      <c r="AF438" s="17" t="str">
        <f t="shared" si="11"/>
        <v>2.342857143</v>
      </c>
      <c r="AG438" s="17" t="str">
        <f t="shared" si="384"/>
        <v>Thermal Decomposition, </v>
      </c>
      <c r="AH438" s="17" t="str">
        <f t="shared" si="326"/>
        <v>Thermal Decomposition, </v>
      </c>
      <c r="AI438" s="17" t="str">
        <f t="shared" si="16"/>
        <v>Thermal Decomposition,corona </v>
      </c>
      <c r="AJ438" s="17" t="str">
        <f t="shared" si="235"/>
        <v>Thermal Decomposition,corona </v>
      </c>
    </row>
    <row r="439" ht="12.75" customHeight="1">
      <c r="A439" s="11">
        <v>437.0</v>
      </c>
      <c r="B439" s="21" t="s">
        <v>408</v>
      </c>
      <c r="C439" s="21" t="s">
        <v>197</v>
      </c>
      <c r="D439" s="21" t="s">
        <v>190</v>
      </c>
      <c r="E439" s="21" t="s">
        <v>106</v>
      </c>
      <c r="F439" s="21">
        <v>1994.0</v>
      </c>
      <c r="G439" s="17">
        <v>8.4</v>
      </c>
      <c r="H439" s="16">
        <v>7.056</v>
      </c>
      <c r="I439" s="16">
        <v>15473.304000000002</v>
      </c>
      <c r="J439" s="16">
        <v>66296.664</v>
      </c>
      <c r="K439" s="16">
        <v>130.452</v>
      </c>
      <c r="L439" s="16">
        <v>1498.98</v>
      </c>
      <c r="M439" s="16">
        <v>9.912</v>
      </c>
      <c r="N439" s="16">
        <v>8.4</v>
      </c>
      <c r="O439" s="16">
        <v>28.056000000000004</v>
      </c>
      <c r="P439" s="16">
        <v>8.0</v>
      </c>
      <c r="Q439" s="17" t="str">
        <f t="shared" si="1"/>
        <v>0.2851439977</v>
      </c>
      <c r="R439" s="17" t="str">
        <f t="shared" si="2"/>
        <v>1.404761905</v>
      </c>
      <c r="S439" s="17" t="str">
        <f t="shared" si="8"/>
        <v>3.34</v>
      </c>
      <c r="T439" s="17" t="str">
        <f t="shared" si="385"/>
        <v>Partial discharge,Low Temprature thermal fault,</v>
      </c>
      <c r="U439" s="17" t="str">
        <f t="shared" si="382"/>
        <v>Thermal Fault &lt;700c, thermal fault &gt;700c </v>
      </c>
      <c r="V439" s="17" t="str">
        <f t="shared" si="381"/>
        <v>Arching,Thermal  Fault &gt; 700 c</v>
      </c>
      <c r="W439" s="17" t="str">
        <f t="shared" si="3"/>
        <v>0.2851439977</v>
      </c>
      <c r="X439" s="17" t="str">
        <f t="shared" si="33"/>
        <v>1.404761905</v>
      </c>
      <c r="Y439" s="17" t="str">
        <f t="shared" si="9"/>
        <v>3.34</v>
      </c>
      <c r="Z439" s="17" t="s">
        <v>34</v>
      </c>
      <c r="AA439" s="17" t="str">
        <f t="shared" si="383"/>
        <v>Thermal  Fault &gt;300c and&lt;700 and &gt;700 c</v>
      </c>
      <c r="AB439" s="17" t="str">
        <f t="shared" si="386"/>
        <v>Thermal  Fault  &gt;700 c</v>
      </c>
      <c r="AC439" s="17" t="str">
        <f t="shared" si="5"/>
        <v>1.404761905</v>
      </c>
      <c r="AD439" s="18" t="str">
        <f t="shared" si="10"/>
        <v>0.2851439977</v>
      </c>
      <c r="AE439" s="17" t="str">
        <f t="shared" si="6"/>
        <v>0.807102502</v>
      </c>
      <c r="AF439" s="17" t="str">
        <f t="shared" si="11"/>
        <v>1.05</v>
      </c>
      <c r="AG439" s="17" t="str">
        <f t="shared" si="384"/>
        <v>Thermal Decomposition, </v>
      </c>
      <c r="AH439" s="17" t="str">
        <f t="shared" si="326"/>
        <v>Thermal Decomposition, </v>
      </c>
      <c r="AI439" s="17" t="str">
        <f t="shared" si="16"/>
        <v>Arching</v>
      </c>
      <c r="AJ439" s="17" t="str">
        <f t="shared" si="235"/>
        <v>Thermal Decomposition,corona </v>
      </c>
    </row>
    <row r="440" ht="12.75" customHeight="1">
      <c r="A440" s="11">
        <v>438.0</v>
      </c>
      <c r="B440" s="21" t="s">
        <v>409</v>
      </c>
      <c r="C440" s="21" t="s">
        <v>197</v>
      </c>
      <c r="D440" s="21" t="s">
        <v>187</v>
      </c>
      <c r="E440" s="21" t="s">
        <v>106</v>
      </c>
      <c r="F440" s="21">
        <v>1994.0</v>
      </c>
      <c r="G440" s="17">
        <v>8.6</v>
      </c>
      <c r="H440" s="16">
        <v>32.938</v>
      </c>
      <c r="I440" s="16">
        <v>14700.581999999997</v>
      </c>
      <c r="J440" s="16">
        <v>68231.196</v>
      </c>
      <c r="K440" s="16">
        <v>177.848</v>
      </c>
      <c r="L440" s="16">
        <v>1927.6039999999998</v>
      </c>
      <c r="M440" s="16">
        <v>71.638</v>
      </c>
      <c r="N440" s="16">
        <v>239.76799999999997</v>
      </c>
      <c r="O440" s="16">
        <v>13.674</v>
      </c>
      <c r="P440" s="16">
        <v>6.0</v>
      </c>
      <c r="Q440" s="17" t="str">
        <f t="shared" si="1"/>
        <v>0.4387889425</v>
      </c>
      <c r="R440" s="17" t="str">
        <f t="shared" si="2"/>
        <v>2.174934726</v>
      </c>
      <c r="S440" s="17" t="str">
        <f t="shared" si="8"/>
        <v>0.05703012912</v>
      </c>
      <c r="T440" s="17" t="str">
        <f t="shared" si="385"/>
        <v>Partial discharge,Low Temprature thermal fault,</v>
      </c>
      <c r="U440" s="17" t="str">
        <f t="shared" si="382"/>
        <v>Thermal Fault &lt;700c, thermal fault &gt;700c </v>
      </c>
      <c r="V440" s="17" t="str">
        <f t="shared" si="381"/>
        <v>Partial discharge, Normal </v>
      </c>
      <c r="W440" s="17" t="str">
        <f t="shared" si="3"/>
        <v>0.4387889425</v>
      </c>
      <c r="X440" s="17" t="str">
        <f t="shared" si="33"/>
        <v>2.174934726</v>
      </c>
      <c r="Y440" s="17" t="str">
        <f t="shared" si="9"/>
        <v>0.05703012912</v>
      </c>
      <c r="Z440" s="17" t="s">
        <v>34</v>
      </c>
      <c r="AA440" s="17" t="str">
        <f t="shared" si="383"/>
        <v>Thermal  Fault &gt;300c and&lt;700 and &gt;700 c</v>
      </c>
      <c r="AB440" s="17" t="str">
        <f t="shared" si="386"/>
        <v>Partial Discharges, </v>
      </c>
      <c r="AC440" s="17" t="str">
        <f t="shared" si="5"/>
        <v>2.174934726</v>
      </c>
      <c r="AD440" s="18" t="str">
        <f t="shared" si="10"/>
        <v>0.4387889425</v>
      </c>
      <c r="AE440" s="17" t="str">
        <f t="shared" si="6"/>
        <v>0.08375443201</v>
      </c>
      <c r="AF440" s="17" t="str">
        <f t="shared" si="11"/>
        <v>39.96133333</v>
      </c>
      <c r="AG440" s="17" t="str">
        <f t="shared" si="384"/>
        <v>Thermal Decomposition, </v>
      </c>
      <c r="AH440" s="17" t="str">
        <f t="shared" si="326"/>
        <v>Thermal Decomposition, </v>
      </c>
      <c r="AI440" s="17" t="str">
        <f t="shared" si="16"/>
        <v>Thermal Decomposition,corona </v>
      </c>
      <c r="AJ440" s="17" t="str">
        <f t="shared" si="235"/>
        <v>Thermal Decomposition,corona </v>
      </c>
    </row>
    <row r="441" ht="12.75" customHeight="1">
      <c r="A441" s="11">
        <v>439.0</v>
      </c>
      <c r="B441" s="21" t="s">
        <v>410</v>
      </c>
      <c r="C441" s="21" t="s">
        <v>197</v>
      </c>
      <c r="D441" s="21" t="s">
        <v>190</v>
      </c>
      <c r="E441" s="21" t="s">
        <v>106</v>
      </c>
      <c r="F441" s="21">
        <v>1994.0</v>
      </c>
      <c r="G441" s="17">
        <v>7.2</v>
      </c>
      <c r="H441" s="16">
        <v>6.336</v>
      </c>
      <c r="I441" s="16">
        <v>12542.832</v>
      </c>
      <c r="J441" s="16">
        <v>56754.72</v>
      </c>
      <c r="K441" s="16">
        <v>135.072</v>
      </c>
      <c r="L441" s="16">
        <v>1457.208</v>
      </c>
      <c r="M441" s="16">
        <v>11.16</v>
      </c>
      <c r="N441" s="16">
        <v>7.128000000000001</v>
      </c>
      <c r="O441" s="16">
        <v>15.984000000000002</v>
      </c>
      <c r="P441" s="16">
        <v>54.0</v>
      </c>
      <c r="Q441" s="17" t="str">
        <f t="shared" si="1"/>
        <v>3.378378378</v>
      </c>
      <c r="R441" s="17" t="str">
        <f t="shared" si="2"/>
        <v>1.761363636</v>
      </c>
      <c r="S441" s="17" t="str">
        <f t="shared" si="8"/>
        <v>2.242424242</v>
      </c>
      <c r="T441" s="17" t="s">
        <v>30</v>
      </c>
      <c r="U441" s="17" t="str">
        <f t="shared" si="382"/>
        <v>Thermal Fault &lt;700c, thermal fault &gt;700c </v>
      </c>
      <c r="V441" s="17" t="s">
        <v>37</v>
      </c>
      <c r="W441" s="17" t="str">
        <f t="shared" si="3"/>
        <v>3.378378378</v>
      </c>
      <c r="X441" s="17" t="str">
        <f t="shared" si="33"/>
        <v>1.761363636</v>
      </c>
      <c r="Y441" s="17" t="str">
        <f t="shared" si="9"/>
        <v>2.242424242</v>
      </c>
      <c r="Z441" s="17" t="str">
        <f>IF(W441&gt;1,"Discharge of Low Energy,  ",IF(W441&lt;0.1,"Thermal  Fault&gt; 300c and&lt;700 c"))</f>
        <v>Discharge of Low Energy,  </v>
      </c>
      <c r="AA441" s="17" t="str">
        <f t="shared" si="383"/>
        <v>Thermal  Fault &gt;300c and&lt;700 and &gt;700 c</v>
      </c>
      <c r="AB441" s="17" t="str">
        <f t="shared" si="386"/>
        <v>Thermal  Fault  &gt;700 c</v>
      </c>
      <c r="AC441" s="17" t="str">
        <f t="shared" si="5"/>
        <v>1.761363636</v>
      </c>
      <c r="AD441" s="18" t="str">
        <f t="shared" si="10"/>
        <v>3.378378378</v>
      </c>
      <c r="AE441" s="17" t="str">
        <f t="shared" si="6"/>
        <v>4.838709677</v>
      </c>
      <c r="AF441" s="17" t="str">
        <f t="shared" si="11"/>
        <v>0.132</v>
      </c>
      <c r="AG441" s="17" t="str">
        <f t="shared" si="384"/>
        <v>Thermal Decomposition, </v>
      </c>
      <c r="AH441" s="17" t="str">
        <f t="shared" si="326"/>
        <v>Arching</v>
      </c>
      <c r="AI441" s="17" t="str">
        <f t="shared" si="16"/>
        <v>Arching</v>
      </c>
      <c r="AJ441" s="17" t="str">
        <f t="shared" si="235"/>
        <v>Arching</v>
      </c>
    </row>
    <row r="442" ht="12.75" customHeight="1">
      <c r="A442" s="11">
        <v>440.0</v>
      </c>
      <c r="B442" s="21" t="s">
        <v>411</v>
      </c>
      <c r="C442" s="21" t="s">
        <v>197</v>
      </c>
      <c r="D442" s="21" t="s">
        <v>412</v>
      </c>
      <c r="E442" s="21" t="s">
        <v>106</v>
      </c>
      <c r="F442" s="21">
        <v>1994.0</v>
      </c>
      <c r="G442" s="17">
        <v>8.2</v>
      </c>
      <c r="H442" s="16">
        <v>2.7879999999999994</v>
      </c>
      <c r="I442" s="16">
        <v>12277.449999999999</v>
      </c>
      <c r="J442" s="16">
        <v>67274.03</v>
      </c>
      <c r="K442" s="16">
        <v>106.27199999999999</v>
      </c>
      <c r="L442" s="16">
        <v>1159.972</v>
      </c>
      <c r="M442" s="16">
        <v>8.0</v>
      </c>
      <c r="N442" s="16">
        <v>6.0</v>
      </c>
      <c r="O442" s="16">
        <v>7.0</v>
      </c>
      <c r="P442" s="16">
        <v>6.0</v>
      </c>
      <c r="Q442" s="17" t="str">
        <f t="shared" si="1"/>
        <v>0.8571428571</v>
      </c>
      <c r="R442" s="17" t="str">
        <f t="shared" si="2"/>
        <v>2.869440459</v>
      </c>
      <c r="S442" s="17" t="str">
        <f t="shared" si="8"/>
        <v>1.166666667</v>
      </c>
      <c r="T442" s="17" t="str">
        <f t="shared" ref="T442:T443" si="387">IF(Q442&lt;1,"Partial discharge,Low Temprature thermal fault,")</f>
        <v>Partial discharge,Low Temprature thermal fault,</v>
      </c>
      <c r="U442" s="17" t="str">
        <f t="shared" ref="U442:U445" si="388">IF(R442&lt;0.1, "Partial discharge", "Low temperature thermal ")</f>
        <v>Low temperature thermal </v>
      </c>
      <c r="V442" s="17" t="s">
        <v>37</v>
      </c>
      <c r="W442" s="17" t="str">
        <f t="shared" si="3"/>
        <v>0.8571428571</v>
      </c>
      <c r="X442" s="17" t="str">
        <f t="shared" si="33"/>
        <v>2.869440459</v>
      </c>
      <c r="Y442" s="17" t="str">
        <f t="shared" si="9"/>
        <v>1.166666667</v>
      </c>
      <c r="Z442" s="17" t="s">
        <v>34</v>
      </c>
      <c r="AA442" s="17" t="str">
        <f t="shared" si="383"/>
        <v>Thermal  Fault &gt;300c and&lt;700 and &gt;700 c</v>
      </c>
      <c r="AB442" s="17" t="str">
        <f t="shared" si="386"/>
        <v>Thermal  Fault  &gt;700 c</v>
      </c>
      <c r="AC442" s="17" t="str">
        <f t="shared" si="5"/>
        <v>2.869440459</v>
      </c>
      <c r="AD442" s="18" t="str">
        <f t="shared" si="10"/>
        <v>0.8571428571</v>
      </c>
      <c r="AE442" s="17" t="str">
        <f t="shared" si="6"/>
        <v>0.75</v>
      </c>
      <c r="AF442" s="17" t="str">
        <f t="shared" si="11"/>
        <v>1</v>
      </c>
      <c r="AG442" s="17" t="str">
        <f t="shared" si="384"/>
        <v>Thermal Decomposition, </v>
      </c>
      <c r="AH442" s="17" t="str">
        <f t="shared" si="326"/>
        <v>Arching</v>
      </c>
      <c r="AI442" s="17" t="str">
        <f t="shared" si="16"/>
        <v>Arching</v>
      </c>
      <c r="AJ442" s="17" t="str">
        <f t="shared" si="235"/>
        <v>Thermal Decomposition,corona </v>
      </c>
    </row>
    <row r="443" ht="12.75" customHeight="1">
      <c r="A443" s="11">
        <v>441.0</v>
      </c>
      <c r="B443" s="21" t="s">
        <v>311</v>
      </c>
      <c r="C443" s="21" t="s">
        <v>197</v>
      </c>
      <c r="D443" s="21" t="s">
        <v>412</v>
      </c>
      <c r="E443" s="21" t="s">
        <v>106</v>
      </c>
      <c r="F443" s="21">
        <v>1994.0</v>
      </c>
      <c r="G443" s="17">
        <v>8.4</v>
      </c>
      <c r="H443" s="16">
        <v>7.056</v>
      </c>
      <c r="I443" s="16">
        <v>11922.876</v>
      </c>
      <c r="J443" s="16">
        <v>69594.168</v>
      </c>
      <c r="K443" s="16">
        <v>128.01600000000002</v>
      </c>
      <c r="L443" s="16">
        <v>1382.3880000000001</v>
      </c>
      <c r="M443" s="16">
        <v>6.0</v>
      </c>
      <c r="N443" s="16">
        <v>8.0</v>
      </c>
      <c r="O443" s="16">
        <v>8.0</v>
      </c>
      <c r="P443" s="16">
        <v>7.0</v>
      </c>
      <c r="Q443" s="17" t="str">
        <f t="shared" si="1"/>
        <v>0.875</v>
      </c>
      <c r="R443" s="17" t="str">
        <f t="shared" si="2"/>
        <v>0.8503401361</v>
      </c>
      <c r="S443" s="17" t="str">
        <f t="shared" si="8"/>
        <v>1</v>
      </c>
      <c r="T443" s="17" t="str">
        <f t="shared" si="387"/>
        <v>Partial discharge,Low Temprature thermal fault,</v>
      </c>
      <c r="U443" s="17" t="str">
        <f t="shared" si="388"/>
        <v>Low temperature thermal </v>
      </c>
      <c r="V443" s="17" t="s">
        <v>37</v>
      </c>
      <c r="W443" s="17" t="str">
        <f t="shared" si="3"/>
        <v>0.875</v>
      </c>
      <c r="X443" s="17" t="str">
        <f t="shared" si="33"/>
        <v>0.8503401361</v>
      </c>
      <c r="Y443" s="17" t="str">
        <f t="shared" si="9"/>
        <v>1</v>
      </c>
      <c r="Z443" s="17" t="s">
        <v>34</v>
      </c>
      <c r="AA443" s="17" t="s">
        <v>34</v>
      </c>
      <c r="AB443" s="17" t="s">
        <v>107</v>
      </c>
      <c r="AC443" s="17" t="str">
        <f t="shared" si="5"/>
        <v>0.8503401361</v>
      </c>
      <c r="AD443" s="18" t="str">
        <f t="shared" si="10"/>
        <v>0.875</v>
      </c>
      <c r="AE443" s="17" t="str">
        <f t="shared" si="6"/>
        <v>1.166666667</v>
      </c>
      <c r="AF443" s="17" t="str">
        <f t="shared" si="11"/>
        <v>1.142857143</v>
      </c>
      <c r="AG443" s="17" t="s">
        <v>30</v>
      </c>
      <c r="AH443" s="17" t="str">
        <f t="shared" si="326"/>
        <v>Arching</v>
      </c>
      <c r="AI443" s="17" t="str">
        <f t="shared" si="16"/>
        <v>Arching</v>
      </c>
      <c r="AJ443" s="17" t="str">
        <f t="shared" si="235"/>
        <v>Thermal Decomposition,corona </v>
      </c>
    </row>
    <row r="444" ht="12.75" customHeight="1">
      <c r="A444" s="11">
        <v>442.0</v>
      </c>
      <c r="B444" s="21" t="s">
        <v>310</v>
      </c>
      <c r="C444" s="21" t="s">
        <v>78</v>
      </c>
      <c r="D444" s="21" t="s">
        <v>193</v>
      </c>
      <c r="E444" s="21" t="s">
        <v>102</v>
      </c>
      <c r="F444" s="21">
        <v>2007.0</v>
      </c>
      <c r="G444" s="17">
        <v>7.4</v>
      </c>
      <c r="H444" s="16">
        <v>7.3260000000000005</v>
      </c>
      <c r="I444" s="16">
        <v>11411.466</v>
      </c>
      <c r="J444" s="16">
        <v>59508.35800000001</v>
      </c>
      <c r="K444" s="16">
        <v>172.05</v>
      </c>
      <c r="L444" s="16">
        <v>1814.2580000000003</v>
      </c>
      <c r="M444" s="16">
        <v>5.0</v>
      </c>
      <c r="N444" s="16">
        <v>9.0</v>
      </c>
      <c r="O444" s="16">
        <v>5.0</v>
      </c>
      <c r="P444" s="16">
        <v>8.0</v>
      </c>
      <c r="Q444" s="17" t="str">
        <f t="shared" si="1"/>
        <v>1.6</v>
      </c>
      <c r="R444" s="17" t="str">
        <f t="shared" si="2"/>
        <v>0.6825006825</v>
      </c>
      <c r="S444" s="17" t="str">
        <f t="shared" si="8"/>
        <v>0.5555555556</v>
      </c>
      <c r="T444" s="17" t="s">
        <v>30</v>
      </c>
      <c r="U444" s="17" t="str">
        <f t="shared" si="388"/>
        <v>Low temperature thermal </v>
      </c>
      <c r="V444" s="17" t="str">
        <f t="shared" ref="V444:V445" si="389">IF(S444&lt;1,"Partial discharge, Normal ",IF(S444&gt;3,"Arching,Thermal  Fault &gt; 700 c"))</f>
        <v>Partial discharge, Normal </v>
      </c>
      <c r="W444" s="17" t="str">
        <f t="shared" si="3"/>
        <v>1.6</v>
      </c>
      <c r="X444" s="17" t="str">
        <f t="shared" si="33"/>
        <v>0.6825006825</v>
      </c>
      <c r="Y444" s="17" t="str">
        <f t="shared" si="9"/>
        <v>0.5555555556</v>
      </c>
      <c r="Z444" s="17" t="str">
        <f>IF(W444&gt;1,"Discharge of Low Energy,  ",IF(W444&lt;0.1,"Thermal  Fault&gt; 300c and&lt;700 c"))</f>
        <v>Discharge of Low Energy,  </v>
      </c>
      <c r="AA444" s="17" t="s">
        <v>34</v>
      </c>
      <c r="AB444" s="17" t="s">
        <v>107</v>
      </c>
      <c r="AC444" s="17" t="str">
        <f t="shared" si="5"/>
        <v>0.6825006825</v>
      </c>
      <c r="AD444" s="18" t="str">
        <f t="shared" si="10"/>
        <v>1.6</v>
      </c>
      <c r="AE444" s="17" t="str">
        <f t="shared" si="6"/>
        <v>1.6</v>
      </c>
      <c r="AF444" s="17" t="str">
        <f t="shared" si="11"/>
        <v>1.125</v>
      </c>
      <c r="AG444" s="17" t="s">
        <v>30</v>
      </c>
      <c r="AH444" s="17" t="str">
        <f t="shared" si="326"/>
        <v>Arching</v>
      </c>
      <c r="AI444" s="17" t="str">
        <f t="shared" si="16"/>
        <v>Arching</v>
      </c>
      <c r="AJ444" s="17" t="str">
        <f t="shared" si="235"/>
        <v>Thermal Decomposition,corona </v>
      </c>
    </row>
    <row r="445" ht="12.75" customHeight="1">
      <c r="A445" s="11">
        <v>443.0</v>
      </c>
      <c r="B445" s="21" t="s">
        <v>309</v>
      </c>
      <c r="C445" s="21" t="s">
        <v>78</v>
      </c>
      <c r="D445" s="21" t="s">
        <v>193</v>
      </c>
      <c r="E445" s="21" t="s">
        <v>102</v>
      </c>
      <c r="F445" s="21">
        <v>2007.0</v>
      </c>
      <c r="G445" s="17">
        <v>8.2</v>
      </c>
      <c r="H445" s="16">
        <v>4.592</v>
      </c>
      <c r="I445" s="16">
        <v>12884.578</v>
      </c>
      <c r="J445" s="16">
        <v>66853.862</v>
      </c>
      <c r="K445" s="16">
        <v>147.43599999999998</v>
      </c>
      <c r="L445" s="16">
        <v>1600.1479999999997</v>
      </c>
      <c r="M445" s="16">
        <v>7.0</v>
      </c>
      <c r="N445" s="16">
        <v>1.886</v>
      </c>
      <c r="O445" s="16">
        <v>8.0</v>
      </c>
      <c r="P445" s="16">
        <v>6.0</v>
      </c>
      <c r="Q445" s="17" t="str">
        <f t="shared" si="1"/>
        <v>0.75</v>
      </c>
      <c r="R445" s="17" t="str">
        <f t="shared" si="2"/>
        <v>1.524390244</v>
      </c>
      <c r="S445" s="17" t="str">
        <f t="shared" si="8"/>
        <v>4.241781548</v>
      </c>
      <c r="T445" s="17" t="str">
        <f t="shared" ref="T445:T447" si="390">IF(Q445&lt;1,"Partial discharge,Low Temprature thermal fault,")</f>
        <v>Partial discharge,Low Temprature thermal fault,</v>
      </c>
      <c r="U445" s="17" t="str">
        <f t="shared" si="388"/>
        <v>Low temperature thermal </v>
      </c>
      <c r="V445" s="17" t="str">
        <f t="shared" si="389"/>
        <v>Arching,Thermal  Fault &gt; 700 c</v>
      </c>
      <c r="W445" s="17" t="str">
        <f t="shared" si="3"/>
        <v>0.75</v>
      </c>
      <c r="X445" s="17" t="str">
        <f t="shared" si="33"/>
        <v>1.524390244</v>
      </c>
      <c r="Y445" s="17" t="str">
        <f t="shared" si="9"/>
        <v>4.241781548</v>
      </c>
      <c r="Z445" s="17" t="s">
        <v>34</v>
      </c>
      <c r="AA445" s="17" t="str">
        <f t="shared" ref="AA445:AA446" si="391">IF(X445&lt;0.1,"Partial Discharges, ",IF(X445&gt;1,"Thermal  Fault &gt;300c and&lt;700 and &gt;700 c"))</f>
        <v>Thermal  Fault &gt;300c and&lt;700 and &gt;700 c</v>
      </c>
      <c r="AB445" s="17" t="str">
        <f t="shared" ref="AB445:AB446" si="392">IF(Y445&lt;0.2,"Partial Discharges, ",IF(Y445&gt;1,"Thermal  Fault  &gt;700 c"))</f>
        <v>Thermal  Fault  &gt;700 c</v>
      </c>
      <c r="AC445" s="17" t="str">
        <f t="shared" si="5"/>
        <v>1.524390244</v>
      </c>
      <c r="AD445" s="18" t="str">
        <f t="shared" si="10"/>
        <v>0.75</v>
      </c>
      <c r="AE445" s="17" t="str">
        <f t="shared" si="6"/>
        <v>0.8571428571</v>
      </c>
      <c r="AF445" s="17" t="str">
        <f t="shared" si="11"/>
        <v>0.3143333333</v>
      </c>
      <c r="AG445" s="17" t="str">
        <f t="shared" ref="AG445:AG446" si="393">IF(AC445&gt;1,"Thermal Decomposition, ",IF(AC445&lt;0.1,"Corona,Arching"))</f>
        <v>Thermal Decomposition, </v>
      </c>
      <c r="AH445" s="17" t="s">
        <v>30</v>
      </c>
      <c r="AI445" s="17" t="str">
        <f t="shared" si="16"/>
        <v>Arching</v>
      </c>
      <c r="AJ445" s="17" t="str">
        <f t="shared" si="235"/>
        <v>Arching</v>
      </c>
    </row>
    <row r="446" ht="12.75" customHeight="1">
      <c r="A446" s="11">
        <v>444.0</v>
      </c>
      <c r="B446" s="13" t="s">
        <v>413</v>
      </c>
      <c r="C446" s="13" t="s">
        <v>197</v>
      </c>
      <c r="D446" s="13" t="s">
        <v>187</v>
      </c>
      <c r="E446" s="13" t="s">
        <v>106</v>
      </c>
      <c r="F446" s="13">
        <v>1997.0</v>
      </c>
      <c r="G446" s="14">
        <v>8.4</v>
      </c>
      <c r="H446" s="15">
        <v>4.956</v>
      </c>
      <c r="I446" s="15">
        <v>13932.576000000001</v>
      </c>
      <c r="J446" s="15">
        <v>66816.372</v>
      </c>
      <c r="K446" s="15">
        <v>154.98000000000002</v>
      </c>
      <c r="L446" s="15">
        <v>1673.7839999999999</v>
      </c>
      <c r="M446" s="15">
        <v>20.748</v>
      </c>
      <c r="N446" s="15">
        <v>87.78</v>
      </c>
      <c r="O446" s="15">
        <v>166.404</v>
      </c>
      <c r="P446" s="15">
        <v>114.0</v>
      </c>
      <c r="Q446" s="17" t="str">
        <f t="shared" si="1"/>
        <v>0.6850796856</v>
      </c>
      <c r="R446" s="17" t="str">
        <f t="shared" si="2"/>
        <v>4.186440678</v>
      </c>
      <c r="S446" s="17" t="str">
        <f t="shared" si="8"/>
        <v>1.89569378</v>
      </c>
      <c r="T446" s="17" t="str">
        <f t="shared" si="390"/>
        <v>Partial discharge,Low Temprature thermal fault,</v>
      </c>
      <c r="U446" s="17" t="str">
        <f>IF(R446&gt;1,"Thermal Fault &lt;700c, thermal fault &gt;700c ")</f>
        <v>Thermal Fault &lt;700c, thermal fault &gt;700c </v>
      </c>
      <c r="V446" s="17" t="s">
        <v>37</v>
      </c>
      <c r="W446" s="17" t="str">
        <f t="shared" si="3"/>
        <v>0.6850796856</v>
      </c>
      <c r="X446" s="17" t="str">
        <f t="shared" si="33"/>
        <v>4.186440678</v>
      </c>
      <c r="Y446" s="17" t="str">
        <f t="shared" si="9"/>
        <v>1.89569378</v>
      </c>
      <c r="Z446" s="17" t="s">
        <v>34</v>
      </c>
      <c r="AA446" s="17" t="str">
        <f t="shared" si="391"/>
        <v>Thermal  Fault &gt;300c and&lt;700 and &gt;700 c</v>
      </c>
      <c r="AB446" s="17" t="str">
        <f t="shared" si="392"/>
        <v>Thermal  Fault  &gt;700 c</v>
      </c>
      <c r="AC446" s="17" t="str">
        <f t="shared" si="5"/>
        <v>4.186440678</v>
      </c>
      <c r="AD446" s="18" t="str">
        <f t="shared" si="10"/>
        <v>0.6850796856</v>
      </c>
      <c r="AE446" s="17" t="str">
        <f t="shared" si="6"/>
        <v>5.494505495</v>
      </c>
      <c r="AF446" s="17" t="str">
        <f t="shared" si="11"/>
        <v>0.77</v>
      </c>
      <c r="AG446" s="17" t="str">
        <f t="shared" si="393"/>
        <v>Thermal Decomposition, </v>
      </c>
      <c r="AH446" s="17" t="str">
        <f t="shared" ref="AH446:AH473" si="394">IF(AD446&lt;0.75,"Thermal Decomposition, ",IF(AD446&gt;0.75,"Arching"))</f>
        <v>Thermal Decomposition, </v>
      </c>
      <c r="AI446" s="17" t="str">
        <f t="shared" si="16"/>
        <v>Arching</v>
      </c>
      <c r="AJ446" s="17" t="str">
        <f t="shared" si="235"/>
        <v>Thermal Decomposition,corona </v>
      </c>
    </row>
    <row r="447" ht="12.75" customHeight="1">
      <c r="A447" s="11">
        <v>445.0</v>
      </c>
      <c r="B447" s="21" t="s">
        <v>308</v>
      </c>
      <c r="C447" s="21" t="s">
        <v>197</v>
      </c>
      <c r="D447" s="21" t="s">
        <v>187</v>
      </c>
      <c r="E447" s="21" t="s">
        <v>106</v>
      </c>
      <c r="F447" s="21">
        <v>1997.0</v>
      </c>
      <c r="G447" s="17">
        <v>7.8</v>
      </c>
      <c r="H447" s="16">
        <v>8.735999999999999</v>
      </c>
      <c r="I447" s="16">
        <v>14640.288</v>
      </c>
      <c r="J447" s="16">
        <v>61007.934</v>
      </c>
      <c r="K447" s="16">
        <v>126.20400000000001</v>
      </c>
      <c r="L447" s="16">
        <v>1568.424</v>
      </c>
      <c r="M447" s="16">
        <v>8.0</v>
      </c>
      <c r="N447" s="16">
        <v>9.0</v>
      </c>
      <c r="O447" s="16">
        <v>7.332</v>
      </c>
      <c r="P447" s="16">
        <v>4.0</v>
      </c>
      <c r="Q447" s="17" t="str">
        <f t="shared" si="1"/>
        <v>0.545553737</v>
      </c>
      <c r="R447" s="17" t="str">
        <f t="shared" si="2"/>
        <v>0.9157509158</v>
      </c>
      <c r="S447" s="17" t="str">
        <f t="shared" si="8"/>
        <v>0.8146666667</v>
      </c>
      <c r="T447" s="17" t="str">
        <f t="shared" si="390"/>
        <v>Partial discharge,Low Temprature thermal fault,</v>
      </c>
      <c r="U447" s="17" t="str">
        <f>IF(R447&lt;0.1, "Partial discharge", "Low temperature thermal ")</f>
        <v>Low temperature thermal </v>
      </c>
      <c r="V447" s="17" t="str">
        <f t="shared" ref="V447:V449" si="395">IF(S447&lt;1,"Partial discharge, Normal ",IF(S447&gt;3,"Arching,Thermal  Fault &gt; 700 c"))</f>
        <v>Partial discharge, Normal </v>
      </c>
      <c r="W447" s="17" t="str">
        <f t="shared" si="3"/>
        <v>0.545553737</v>
      </c>
      <c r="X447" s="17" t="str">
        <f t="shared" si="33"/>
        <v>0.9157509158</v>
      </c>
      <c r="Y447" s="17" t="str">
        <f t="shared" si="9"/>
        <v>0.8146666667</v>
      </c>
      <c r="Z447" s="17" t="s">
        <v>34</v>
      </c>
      <c r="AA447" s="17" t="s">
        <v>34</v>
      </c>
      <c r="AB447" s="17" t="s">
        <v>107</v>
      </c>
      <c r="AC447" s="17" t="str">
        <f t="shared" si="5"/>
        <v>0.9157509158</v>
      </c>
      <c r="AD447" s="18" t="str">
        <f t="shared" si="10"/>
        <v>0.545553737</v>
      </c>
      <c r="AE447" s="17" t="str">
        <f t="shared" si="6"/>
        <v>0.5</v>
      </c>
      <c r="AF447" s="17" t="str">
        <f t="shared" si="11"/>
        <v>2.25</v>
      </c>
      <c r="AG447" s="17" t="s">
        <v>30</v>
      </c>
      <c r="AH447" s="17" t="str">
        <f t="shared" si="394"/>
        <v>Thermal Decomposition, </v>
      </c>
      <c r="AI447" s="17" t="str">
        <f t="shared" si="16"/>
        <v>Arching</v>
      </c>
      <c r="AJ447" s="17" t="str">
        <f t="shared" si="235"/>
        <v>Thermal Decomposition,corona </v>
      </c>
    </row>
    <row r="448" ht="12.75" customHeight="1">
      <c r="A448" s="11">
        <v>446.0</v>
      </c>
      <c r="B448" s="21" t="s">
        <v>414</v>
      </c>
      <c r="C448" s="21" t="s">
        <v>197</v>
      </c>
      <c r="D448" s="21" t="s">
        <v>187</v>
      </c>
      <c r="E448" s="21" t="s">
        <v>106</v>
      </c>
      <c r="F448" s="21">
        <v>1997.0</v>
      </c>
      <c r="G448" s="17">
        <v>8.4</v>
      </c>
      <c r="H448" s="16">
        <v>4.704</v>
      </c>
      <c r="I448" s="16">
        <v>15722.7</v>
      </c>
      <c r="J448" s="16">
        <v>65932.60800000001</v>
      </c>
      <c r="K448" s="16">
        <v>162.372</v>
      </c>
      <c r="L448" s="16">
        <v>1730.9880000000003</v>
      </c>
      <c r="M448" s="16">
        <v>9.0</v>
      </c>
      <c r="N448" s="16">
        <v>7.0</v>
      </c>
      <c r="O448" s="16">
        <v>6.0</v>
      </c>
      <c r="P448" s="16">
        <v>8.0</v>
      </c>
      <c r="Q448" s="17" t="str">
        <f t="shared" si="1"/>
        <v>1.333333333</v>
      </c>
      <c r="R448" s="17" t="str">
        <f t="shared" si="2"/>
        <v>1.913265306</v>
      </c>
      <c r="S448" s="17" t="str">
        <f t="shared" si="8"/>
        <v>0.8571428571</v>
      </c>
      <c r="T448" s="17" t="s">
        <v>30</v>
      </c>
      <c r="U448" s="17" t="str">
        <f>IF(R448&gt;1,"Thermal Fault &lt;700c, thermal fault &gt;700c ")</f>
        <v>Thermal Fault &lt;700c, thermal fault &gt;700c </v>
      </c>
      <c r="V448" s="17" t="str">
        <f t="shared" si="395"/>
        <v>Partial discharge, Normal </v>
      </c>
      <c r="W448" s="17" t="str">
        <f t="shared" si="3"/>
        <v>1.333333333</v>
      </c>
      <c r="X448" s="17" t="str">
        <f t="shared" si="33"/>
        <v>1.913265306</v>
      </c>
      <c r="Y448" s="17" t="str">
        <f t="shared" si="9"/>
        <v>0.8571428571</v>
      </c>
      <c r="Z448" s="17" t="str">
        <f t="shared" ref="Z448:Z449" si="396">IF(W448&gt;1,"Discharge of Low Energy,  ",IF(W448&lt;0.1,"Thermal  Fault&gt; 300c and&lt;700 c"))</f>
        <v>Discharge of Low Energy,  </v>
      </c>
      <c r="AA448" s="17" t="str">
        <f t="shared" ref="AA448:AA452" si="397">IF(X448&lt;0.1,"Partial Discharges, ",IF(X448&gt;1,"Thermal  Fault &gt;300c and&lt;700 and &gt;700 c"))</f>
        <v>Thermal  Fault &gt;300c and&lt;700 and &gt;700 c</v>
      </c>
      <c r="AB448" s="17" t="s">
        <v>107</v>
      </c>
      <c r="AC448" s="17" t="str">
        <f t="shared" si="5"/>
        <v>1.913265306</v>
      </c>
      <c r="AD448" s="18" t="str">
        <f t="shared" si="10"/>
        <v>1.333333333</v>
      </c>
      <c r="AE448" s="17" t="str">
        <f t="shared" si="6"/>
        <v>0.8888888889</v>
      </c>
      <c r="AF448" s="17" t="str">
        <f t="shared" si="11"/>
        <v>0.875</v>
      </c>
      <c r="AG448" s="17" t="str">
        <f t="shared" ref="AG448:AG452" si="398">IF(AC448&gt;1,"Thermal Decomposition, ",IF(AC448&lt;0.1,"Corona,Arching"))</f>
        <v>Thermal Decomposition, </v>
      </c>
      <c r="AH448" s="17" t="str">
        <f t="shared" si="394"/>
        <v>Arching</v>
      </c>
      <c r="AI448" s="17" t="str">
        <f t="shared" si="16"/>
        <v>Arching</v>
      </c>
      <c r="AJ448" s="17" t="str">
        <f t="shared" si="235"/>
        <v>Thermal Decomposition,corona </v>
      </c>
    </row>
    <row r="449" ht="12.75" customHeight="1">
      <c r="A449" s="11">
        <v>447.0</v>
      </c>
      <c r="B449" s="17" t="s">
        <v>415</v>
      </c>
      <c r="C449" s="17" t="s">
        <v>40</v>
      </c>
      <c r="D449" s="17" t="s">
        <v>155</v>
      </c>
      <c r="E449" s="22" t="s">
        <v>155</v>
      </c>
      <c r="F449" s="22" t="s">
        <v>155</v>
      </c>
      <c r="G449" s="17">
        <v>7.2</v>
      </c>
      <c r="H449" s="16">
        <v>5.6160000000000005</v>
      </c>
      <c r="I449" s="16">
        <v>11743.488000000001</v>
      </c>
      <c r="J449" s="16">
        <v>58275.504</v>
      </c>
      <c r="K449" s="16">
        <v>127.94399999999999</v>
      </c>
      <c r="L449" s="16">
        <v>1405.512</v>
      </c>
      <c r="M449" s="16">
        <v>7.0</v>
      </c>
      <c r="N449" s="16">
        <v>9.0</v>
      </c>
      <c r="O449" s="16">
        <v>7.0</v>
      </c>
      <c r="P449" s="16">
        <v>9.0</v>
      </c>
      <c r="Q449" s="17" t="str">
        <f t="shared" si="1"/>
        <v>1.285714286</v>
      </c>
      <c r="R449" s="17" t="str">
        <f t="shared" si="2"/>
        <v>1.246438746</v>
      </c>
      <c r="S449" s="17" t="str">
        <f t="shared" si="8"/>
        <v>0.7777777778</v>
      </c>
      <c r="T449" s="17" t="s">
        <v>30</v>
      </c>
      <c r="U449" s="17" t="str">
        <f t="shared" ref="U449:U450" si="399">IF(R449&lt;0.1, "Partial discharge", "Low temperature thermal ")</f>
        <v>Low temperature thermal </v>
      </c>
      <c r="V449" s="17" t="str">
        <f t="shared" si="395"/>
        <v>Partial discharge, Normal </v>
      </c>
      <c r="W449" s="17" t="str">
        <f t="shared" si="3"/>
        <v>1.285714286</v>
      </c>
      <c r="X449" s="17" t="str">
        <f t="shared" si="33"/>
        <v>1.246438746</v>
      </c>
      <c r="Y449" s="17" t="str">
        <f t="shared" si="9"/>
        <v>0.7777777778</v>
      </c>
      <c r="Z449" s="17" t="str">
        <f t="shared" si="396"/>
        <v>Discharge of Low Energy,  </v>
      </c>
      <c r="AA449" s="17" t="str">
        <f t="shared" si="397"/>
        <v>Thermal  Fault &gt;300c and&lt;700 and &gt;700 c</v>
      </c>
      <c r="AB449" s="17" t="s">
        <v>107</v>
      </c>
      <c r="AC449" s="17" t="str">
        <f t="shared" si="5"/>
        <v>1.246438746</v>
      </c>
      <c r="AD449" s="18" t="str">
        <f t="shared" si="10"/>
        <v>1.285714286</v>
      </c>
      <c r="AE449" s="17" t="str">
        <f t="shared" si="6"/>
        <v>1.285714286</v>
      </c>
      <c r="AF449" s="17" t="str">
        <f t="shared" si="11"/>
        <v>1</v>
      </c>
      <c r="AG449" s="17" t="str">
        <f t="shared" si="398"/>
        <v>Thermal Decomposition, </v>
      </c>
      <c r="AH449" s="17" t="str">
        <f t="shared" si="394"/>
        <v>Arching</v>
      </c>
      <c r="AI449" s="17" t="str">
        <f t="shared" si="16"/>
        <v>Arching</v>
      </c>
      <c r="AJ449" s="17" t="str">
        <f t="shared" si="235"/>
        <v>Thermal Decomposition,corona </v>
      </c>
    </row>
    <row r="450" ht="12.75" customHeight="1">
      <c r="A450" s="11">
        <v>448.0</v>
      </c>
      <c r="B450" s="22" t="s">
        <v>67</v>
      </c>
      <c r="C450" s="17" t="s">
        <v>40</v>
      </c>
      <c r="D450" s="22" t="s">
        <v>67</v>
      </c>
      <c r="E450" s="19" t="s">
        <v>179</v>
      </c>
      <c r="F450" s="17">
        <v>2010.0</v>
      </c>
      <c r="G450" s="17">
        <v>7.7</v>
      </c>
      <c r="H450" s="16">
        <v>0.847</v>
      </c>
      <c r="I450" s="16">
        <v>12365.353000000001</v>
      </c>
      <c r="J450" s="16">
        <v>62448.617</v>
      </c>
      <c r="K450" s="16">
        <v>86.471</v>
      </c>
      <c r="L450" s="16">
        <v>989.7580000000002</v>
      </c>
      <c r="M450" s="16">
        <v>6.0</v>
      </c>
      <c r="N450" s="16">
        <v>6.0</v>
      </c>
      <c r="O450" s="16">
        <v>9.0</v>
      </c>
      <c r="P450" s="17">
        <v>8.0</v>
      </c>
      <c r="Q450" s="17" t="str">
        <f t="shared" si="1"/>
        <v>0.8888888889</v>
      </c>
      <c r="R450" s="17" t="str">
        <f t="shared" si="2"/>
        <v>7.083825266</v>
      </c>
      <c r="S450" s="17" t="str">
        <f t="shared" si="8"/>
        <v>1.5</v>
      </c>
      <c r="T450" s="17" t="str">
        <f t="shared" ref="T450:T454" si="400">IF(Q450&lt;1,"Partial discharge,Low Temprature thermal fault,")</f>
        <v>Partial discharge,Low Temprature thermal fault,</v>
      </c>
      <c r="U450" s="17" t="str">
        <f t="shared" si="399"/>
        <v>Low temperature thermal </v>
      </c>
      <c r="V450" s="17" t="s">
        <v>37</v>
      </c>
      <c r="W450" s="17" t="str">
        <f t="shared" si="3"/>
        <v>0.8888888889</v>
      </c>
      <c r="X450" s="17" t="str">
        <f t="shared" si="33"/>
        <v>7.083825266</v>
      </c>
      <c r="Y450" s="17" t="str">
        <f t="shared" si="9"/>
        <v>1.5</v>
      </c>
      <c r="Z450" s="17" t="s">
        <v>34</v>
      </c>
      <c r="AA450" s="17" t="str">
        <f t="shared" si="397"/>
        <v>Thermal  Fault &gt;300c and&lt;700 and &gt;700 c</v>
      </c>
      <c r="AB450" s="17" t="str">
        <f t="shared" ref="AB450:AB451" si="401">IF(Y450&lt;0.2,"Partial Discharges, ",IF(Y450&gt;1,"Thermal  Fault  &gt;700 c"))</f>
        <v>Thermal  Fault  &gt;700 c</v>
      </c>
      <c r="AC450" s="17" t="str">
        <f t="shared" si="5"/>
        <v>7.083825266</v>
      </c>
      <c r="AD450" s="18" t="str">
        <f t="shared" si="10"/>
        <v>0.8888888889</v>
      </c>
      <c r="AE450" s="17" t="str">
        <f t="shared" si="6"/>
        <v>1.333333333</v>
      </c>
      <c r="AF450" s="17" t="str">
        <f t="shared" si="11"/>
        <v>0.75</v>
      </c>
      <c r="AG450" s="17" t="str">
        <f t="shared" si="398"/>
        <v>Thermal Decomposition, </v>
      </c>
      <c r="AH450" s="17" t="str">
        <f t="shared" si="394"/>
        <v>Arching</v>
      </c>
      <c r="AI450" s="17" t="str">
        <f t="shared" si="16"/>
        <v>Arching</v>
      </c>
      <c r="AJ450" s="17" t="str">
        <f t="shared" si="235"/>
        <v>Thermal Decomposition,corona </v>
      </c>
    </row>
    <row r="451" ht="12.75" customHeight="1">
      <c r="A451" s="11">
        <v>450.0</v>
      </c>
      <c r="B451" s="21" t="s">
        <v>416</v>
      </c>
      <c r="C451" s="21" t="s">
        <v>241</v>
      </c>
      <c r="D451" s="21" t="s">
        <v>417</v>
      </c>
      <c r="E451" s="21" t="s">
        <v>324</v>
      </c>
      <c r="F451" s="21">
        <v>2015.0</v>
      </c>
      <c r="G451" s="17">
        <v>8.5</v>
      </c>
      <c r="H451" s="16">
        <v>6.0</v>
      </c>
      <c r="I451" s="16">
        <v>9473.08</v>
      </c>
      <c r="J451" s="16">
        <v>74121.105</v>
      </c>
      <c r="K451" s="16">
        <v>76.84</v>
      </c>
      <c r="L451" s="16">
        <v>687.14</v>
      </c>
      <c r="M451" s="16">
        <v>8.0</v>
      </c>
      <c r="N451" s="16">
        <v>5.0</v>
      </c>
      <c r="O451" s="16">
        <v>8.0</v>
      </c>
      <c r="P451" s="17">
        <v>2.0</v>
      </c>
      <c r="Q451" s="17" t="str">
        <f t="shared" si="1"/>
        <v>0.25</v>
      </c>
      <c r="R451" s="17" t="str">
        <f t="shared" si="2"/>
        <v>1.333333333</v>
      </c>
      <c r="S451" s="17" t="str">
        <f t="shared" si="8"/>
        <v>1.6</v>
      </c>
      <c r="T451" s="17" t="str">
        <f t="shared" si="400"/>
        <v>Partial discharge,Low Temprature thermal fault,</v>
      </c>
      <c r="U451" s="17" t="s">
        <v>30</v>
      </c>
      <c r="V451" s="17" t="s">
        <v>37</v>
      </c>
      <c r="W451" s="17" t="str">
        <f t="shared" si="3"/>
        <v>0.25</v>
      </c>
      <c r="X451" s="17" t="str">
        <f t="shared" si="33"/>
        <v>1.333333333</v>
      </c>
      <c r="Y451" s="17" t="str">
        <f t="shared" si="9"/>
        <v>1.6</v>
      </c>
      <c r="Z451" s="17" t="s">
        <v>34</v>
      </c>
      <c r="AA451" s="17" t="str">
        <f t="shared" si="397"/>
        <v>Thermal  Fault &gt;300c and&lt;700 and &gt;700 c</v>
      </c>
      <c r="AB451" s="17" t="str">
        <f t="shared" si="401"/>
        <v>Thermal  Fault  &gt;700 c</v>
      </c>
      <c r="AC451" s="17" t="str">
        <f t="shared" si="5"/>
        <v>1.333333333</v>
      </c>
      <c r="AD451" s="18" t="str">
        <f t="shared" si="10"/>
        <v>0.25</v>
      </c>
      <c r="AE451" s="17" t="str">
        <f t="shared" si="6"/>
        <v>0.25</v>
      </c>
      <c r="AF451" s="17" t="str">
        <f t="shared" si="11"/>
        <v>2.5</v>
      </c>
      <c r="AG451" s="17" t="str">
        <f t="shared" si="398"/>
        <v>Thermal Decomposition, </v>
      </c>
      <c r="AH451" s="17" t="str">
        <f t="shared" si="394"/>
        <v>Thermal Decomposition, </v>
      </c>
      <c r="AI451" s="17" t="str">
        <f t="shared" si="16"/>
        <v>Thermal Decomposition,corona </v>
      </c>
      <c r="AJ451" s="17" t="str">
        <f t="shared" si="235"/>
        <v>Thermal Decomposition,corona </v>
      </c>
    </row>
    <row r="452" ht="12.75" customHeight="1">
      <c r="A452" s="11">
        <v>451.0</v>
      </c>
      <c r="B452" s="21" t="s">
        <v>418</v>
      </c>
      <c r="C452" s="21" t="s">
        <v>241</v>
      </c>
      <c r="D452" s="21" t="s">
        <v>419</v>
      </c>
      <c r="E452" s="21" t="s">
        <v>324</v>
      </c>
      <c r="F452" s="21">
        <v>2015.0</v>
      </c>
      <c r="G452" s="17">
        <v>8.4</v>
      </c>
      <c r="H452" s="16">
        <v>7.0</v>
      </c>
      <c r="I452" s="16">
        <v>10979.304</v>
      </c>
      <c r="J452" s="16">
        <v>70981.764</v>
      </c>
      <c r="K452" s="16">
        <v>89.03999999999999</v>
      </c>
      <c r="L452" s="16">
        <v>766.4159999999999</v>
      </c>
      <c r="M452" s="16">
        <v>9.0</v>
      </c>
      <c r="N452" s="16">
        <v>8.0</v>
      </c>
      <c r="O452" s="16">
        <v>6.0</v>
      </c>
      <c r="P452" s="17">
        <v>4.0</v>
      </c>
      <c r="Q452" s="17" t="str">
        <f t="shared" si="1"/>
        <v>0.6666666667</v>
      </c>
      <c r="R452" s="17" t="str">
        <f t="shared" si="2"/>
        <v>1.285714286</v>
      </c>
      <c r="S452" s="17" t="str">
        <f t="shared" si="8"/>
        <v>0.75</v>
      </c>
      <c r="T452" s="17" t="str">
        <f t="shared" si="400"/>
        <v>Partial discharge,Low Temprature thermal fault,</v>
      </c>
      <c r="U452" s="17" t="s">
        <v>30</v>
      </c>
      <c r="V452" s="17" t="str">
        <f>IF(S452&lt;1,"Partial discharge, Normal ",IF(S452&gt;3,"Arching,Thermal  Fault &gt; 700 c"))</f>
        <v>Partial discharge, Normal </v>
      </c>
      <c r="W452" s="17" t="str">
        <f t="shared" si="3"/>
        <v>0.6666666667</v>
      </c>
      <c r="X452" s="17" t="str">
        <f t="shared" si="33"/>
        <v>1.285714286</v>
      </c>
      <c r="Y452" s="17" t="str">
        <f t="shared" si="9"/>
        <v>0.75</v>
      </c>
      <c r="Z452" s="17" t="s">
        <v>34</v>
      </c>
      <c r="AA452" s="17" t="str">
        <f t="shared" si="397"/>
        <v>Thermal  Fault &gt;300c and&lt;700 and &gt;700 c</v>
      </c>
      <c r="AB452" s="17" t="s">
        <v>107</v>
      </c>
      <c r="AC452" s="17" t="str">
        <f t="shared" si="5"/>
        <v>1.285714286</v>
      </c>
      <c r="AD452" s="18" t="str">
        <f t="shared" si="10"/>
        <v>0.6666666667</v>
      </c>
      <c r="AE452" s="17" t="str">
        <f t="shared" si="6"/>
        <v>0.4444444444</v>
      </c>
      <c r="AF452" s="17" t="str">
        <f t="shared" si="11"/>
        <v>2</v>
      </c>
      <c r="AG452" s="17" t="str">
        <f t="shared" si="398"/>
        <v>Thermal Decomposition, </v>
      </c>
      <c r="AH452" s="17" t="str">
        <f t="shared" si="394"/>
        <v>Thermal Decomposition, </v>
      </c>
      <c r="AI452" s="17" t="str">
        <f t="shared" si="16"/>
        <v>Arching</v>
      </c>
      <c r="AJ452" s="17" t="str">
        <f t="shared" si="235"/>
        <v>Thermal Decomposition,corona </v>
      </c>
    </row>
    <row r="453" ht="12.75" customHeight="1">
      <c r="A453" s="11">
        <v>452.0</v>
      </c>
      <c r="B453" s="21">
        <v>6007247.0</v>
      </c>
      <c r="C453" s="21" t="s">
        <v>320</v>
      </c>
      <c r="D453" s="21" t="s">
        <v>321</v>
      </c>
      <c r="E453" s="21" t="s">
        <v>91</v>
      </c>
      <c r="F453" s="21">
        <v>2016.0</v>
      </c>
      <c r="G453" s="17">
        <v>8.0</v>
      </c>
      <c r="H453" s="16">
        <v>8.0</v>
      </c>
      <c r="I453" s="16">
        <v>8707.36</v>
      </c>
      <c r="J453" s="16">
        <v>69505.12</v>
      </c>
      <c r="K453" s="16">
        <v>64.8</v>
      </c>
      <c r="L453" s="16">
        <v>564.48</v>
      </c>
      <c r="M453" s="16">
        <v>7.0</v>
      </c>
      <c r="N453" s="16">
        <v>8.0</v>
      </c>
      <c r="O453" s="16">
        <v>9.0</v>
      </c>
      <c r="P453" s="17">
        <v>7.0</v>
      </c>
      <c r="Q453" s="17" t="str">
        <f t="shared" si="1"/>
        <v>0.7777777778</v>
      </c>
      <c r="R453" s="17" t="str">
        <f t="shared" si="2"/>
        <v>0.875</v>
      </c>
      <c r="S453" s="17" t="str">
        <f t="shared" si="8"/>
        <v>1.125</v>
      </c>
      <c r="T453" s="17" t="str">
        <f t="shared" si="400"/>
        <v>Partial discharge,Low Temprature thermal fault,</v>
      </c>
      <c r="U453" s="17" t="s">
        <v>30</v>
      </c>
      <c r="V453" s="17" t="s">
        <v>37</v>
      </c>
      <c r="W453" s="17" t="str">
        <f t="shared" si="3"/>
        <v>0.7777777778</v>
      </c>
      <c r="X453" s="17" t="str">
        <f t="shared" si="33"/>
        <v>0.875</v>
      </c>
      <c r="Y453" s="17" t="str">
        <f t="shared" si="9"/>
        <v>1.125</v>
      </c>
      <c r="Z453" s="17" t="s">
        <v>34</v>
      </c>
      <c r="AA453" s="17" t="s">
        <v>34</v>
      </c>
      <c r="AB453" s="17" t="str">
        <f t="shared" ref="AB453:AB454" si="402">IF(Y453&lt;0.2,"Partial Discharges, ",IF(Y453&gt;1,"Thermal  Fault  &gt;700 c"))</f>
        <v>Thermal  Fault  &gt;700 c</v>
      </c>
      <c r="AC453" s="17" t="str">
        <f t="shared" si="5"/>
        <v>0.875</v>
      </c>
      <c r="AD453" s="18" t="str">
        <f t="shared" si="10"/>
        <v>0.7777777778</v>
      </c>
      <c r="AE453" s="17" t="str">
        <f t="shared" si="6"/>
        <v>1</v>
      </c>
      <c r="AF453" s="17" t="str">
        <f t="shared" si="11"/>
        <v>1.142857143</v>
      </c>
      <c r="AG453" s="17" t="s">
        <v>30</v>
      </c>
      <c r="AH453" s="17" t="str">
        <f t="shared" si="394"/>
        <v>Arching</v>
      </c>
      <c r="AI453" s="17" t="str">
        <f t="shared" si="16"/>
        <v>Arching</v>
      </c>
      <c r="AJ453" s="17" t="str">
        <f t="shared" si="235"/>
        <v>Thermal Decomposition,corona </v>
      </c>
    </row>
    <row r="454" ht="12.75" customHeight="1">
      <c r="A454" s="11">
        <v>453.0</v>
      </c>
      <c r="B454" s="17">
        <v>6007246.0</v>
      </c>
      <c r="C454" s="21" t="s">
        <v>320</v>
      </c>
      <c r="D454" s="21" t="s">
        <v>321</v>
      </c>
      <c r="E454" s="21" t="s">
        <v>91</v>
      </c>
      <c r="F454" s="21">
        <v>2016.0</v>
      </c>
      <c r="G454" s="17">
        <v>8.4</v>
      </c>
      <c r="H454" s="16">
        <v>8.0</v>
      </c>
      <c r="I454" s="16">
        <v>11771.172</v>
      </c>
      <c r="J454" s="16">
        <v>70786.63200000001</v>
      </c>
      <c r="K454" s="16">
        <v>82.068</v>
      </c>
      <c r="L454" s="16">
        <v>762.468</v>
      </c>
      <c r="M454" s="16">
        <v>6.0</v>
      </c>
      <c r="N454" s="16">
        <v>5.0</v>
      </c>
      <c r="O454" s="16">
        <v>9.0</v>
      </c>
      <c r="P454" s="17">
        <v>2.0</v>
      </c>
      <c r="Q454" s="17" t="str">
        <f t="shared" si="1"/>
        <v>0.2222222222</v>
      </c>
      <c r="R454" s="17" t="str">
        <f t="shared" si="2"/>
        <v>0.75</v>
      </c>
      <c r="S454" s="17" t="str">
        <f t="shared" si="8"/>
        <v>1.8</v>
      </c>
      <c r="T454" s="17" t="str">
        <f t="shared" si="400"/>
        <v>Partial discharge,Low Temprature thermal fault,</v>
      </c>
      <c r="U454" s="17" t="s">
        <v>30</v>
      </c>
      <c r="V454" s="17" t="s">
        <v>37</v>
      </c>
      <c r="W454" s="17" t="str">
        <f t="shared" si="3"/>
        <v>0.2222222222</v>
      </c>
      <c r="X454" s="17" t="str">
        <f t="shared" si="33"/>
        <v>0.75</v>
      </c>
      <c r="Y454" s="17" t="str">
        <f t="shared" si="9"/>
        <v>1.8</v>
      </c>
      <c r="Z454" s="17" t="s">
        <v>34</v>
      </c>
      <c r="AA454" s="17" t="s">
        <v>34</v>
      </c>
      <c r="AB454" s="17" t="str">
        <f t="shared" si="402"/>
        <v>Thermal  Fault  &gt;700 c</v>
      </c>
      <c r="AC454" s="17" t="str">
        <f t="shared" si="5"/>
        <v>0.75</v>
      </c>
      <c r="AD454" s="18" t="str">
        <f t="shared" si="10"/>
        <v>0.2222222222</v>
      </c>
      <c r="AE454" s="17" t="str">
        <f t="shared" si="6"/>
        <v>0.3333333333</v>
      </c>
      <c r="AF454" s="17" t="str">
        <f t="shared" si="11"/>
        <v>2.5</v>
      </c>
      <c r="AG454" s="17" t="s">
        <v>30</v>
      </c>
      <c r="AH454" s="17" t="str">
        <f t="shared" si="394"/>
        <v>Thermal Decomposition, </v>
      </c>
      <c r="AI454" s="17" t="str">
        <f t="shared" si="16"/>
        <v>Arching</v>
      </c>
      <c r="AJ454" s="17" t="str">
        <f t="shared" si="235"/>
        <v>Thermal Decomposition,corona </v>
      </c>
    </row>
    <row r="455" ht="12.75" customHeight="1">
      <c r="A455" s="11">
        <v>454.0</v>
      </c>
      <c r="B455" s="17">
        <v>6007245.0</v>
      </c>
      <c r="C455" s="21" t="s">
        <v>320</v>
      </c>
      <c r="D455" s="21" t="s">
        <v>321</v>
      </c>
      <c r="E455" s="21" t="s">
        <v>91</v>
      </c>
      <c r="F455" s="21">
        <v>2016.0</v>
      </c>
      <c r="G455" s="17">
        <v>8.2</v>
      </c>
      <c r="H455" s="16">
        <v>5.0</v>
      </c>
      <c r="I455" s="16">
        <v>10634.416</v>
      </c>
      <c r="J455" s="16">
        <v>70119.26599999999</v>
      </c>
      <c r="K455" s="16">
        <v>73.964</v>
      </c>
      <c r="L455" s="16">
        <v>657.804</v>
      </c>
      <c r="M455" s="16">
        <v>5.0</v>
      </c>
      <c r="N455" s="16">
        <v>9.0</v>
      </c>
      <c r="O455" s="16">
        <v>8.0</v>
      </c>
      <c r="P455" s="17">
        <v>9.0</v>
      </c>
      <c r="Q455" s="17" t="str">
        <f t="shared" si="1"/>
        <v>1.125</v>
      </c>
      <c r="R455" s="17" t="str">
        <f t="shared" si="2"/>
        <v>1</v>
      </c>
      <c r="S455" s="17" t="str">
        <f t="shared" si="8"/>
        <v>0.8888888889</v>
      </c>
      <c r="T455" s="17" t="s">
        <v>30</v>
      </c>
      <c r="U455" s="17" t="s">
        <v>30</v>
      </c>
      <c r="V455" s="17" t="str">
        <f t="shared" ref="V455:V457" si="403">IF(S455&lt;1,"Partial discharge, Normal ",IF(S455&gt;3,"Arching,Thermal  Fault &gt; 700 c"))</f>
        <v>Partial discharge, Normal </v>
      </c>
      <c r="W455" s="17" t="str">
        <f t="shared" si="3"/>
        <v>1.125</v>
      </c>
      <c r="X455" s="17" t="str">
        <f t="shared" si="33"/>
        <v>1</v>
      </c>
      <c r="Y455" s="17" t="str">
        <f t="shared" si="9"/>
        <v>0.8888888889</v>
      </c>
      <c r="Z455" s="17" t="str">
        <f>IF(W455&gt;1,"Discharge of Low Energy,  ",IF(W455&lt;0.1,"Thermal  Fault&gt; 300c and&lt;700 c"))</f>
        <v>Discharge of Low Energy,  </v>
      </c>
      <c r="AA455" s="17" t="s">
        <v>34</v>
      </c>
      <c r="AB455" s="17" t="s">
        <v>107</v>
      </c>
      <c r="AC455" s="17" t="str">
        <f t="shared" si="5"/>
        <v>1</v>
      </c>
      <c r="AD455" s="18" t="str">
        <f t="shared" si="10"/>
        <v>1.125</v>
      </c>
      <c r="AE455" s="17" t="str">
        <f t="shared" si="6"/>
        <v>1.8</v>
      </c>
      <c r="AF455" s="17" t="str">
        <f t="shared" si="11"/>
        <v>1</v>
      </c>
      <c r="AG455" s="17" t="s">
        <v>30</v>
      </c>
      <c r="AH455" s="17" t="str">
        <f t="shared" si="394"/>
        <v>Arching</v>
      </c>
      <c r="AI455" s="17" t="str">
        <f t="shared" si="16"/>
        <v>Arching</v>
      </c>
      <c r="AJ455" s="17" t="str">
        <f t="shared" si="235"/>
        <v>Thermal Decomposition,corona </v>
      </c>
    </row>
    <row r="456" ht="12.75" customHeight="1">
      <c r="A456" s="11">
        <v>455.0</v>
      </c>
      <c r="B456" s="21" t="s">
        <v>420</v>
      </c>
      <c r="C456" s="21" t="s">
        <v>241</v>
      </c>
      <c r="D456" s="21" t="s">
        <v>421</v>
      </c>
      <c r="E456" s="21" t="s">
        <v>422</v>
      </c>
      <c r="F456" s="21">
        <v>2013.0</v>
      </c>
      <c r="G456" s="17">
        <v>7.0</v>
      </c>
      <c r="H456" s="16">
        <v>4.0</v>
      </c>
      <c r="I456" s="16">
        <v>9775.5</v>
      </c>
      <c r="J456" s="16">
        <v>58707.18000000001</v>
      </c>
      <c r="K456" s="16">
        <v>85.75</v>
      </c>
      <c r="L456" s="16">
        <v>608.51</v>
      </c>
      <c r="M456" s="16">
        <v>9.0</v>
      </c>
      <c r="N456" s="16">
        <v>9.0</v>
      </c>
      <c r="O456" s="16">
        <v>7.0</v>
      </c>
      <c r="P456" s="17">
        <v>2.0</v>
      </c>
      <c r="Q456" s="17" t="str">
        <f t="shared" si="1"/>
        <v>0.2857142857</v>
      </c>
      <c r="R456" s="17" t="str">
        <f t="shared" si="2"/>
        <v>2.25</v>
      </c>
      <c r="S456" s="17" t="str">
        <f t="shared" si="8"/>
        <v>0.7777777778</v>
      </c>
      <c r="T456" s="17" t="str">
        <f>IF(Q456&lt;1,"Partial discharge,Low Temprature thermal fault,")</f>
        <v>Partial discharge,Low Temprature thermal fault,</v>
      </c>
      <c r="U456" s="17" t="s">
        <v>30</v>
      </c>
      <c r="V456" s="17" t="str">
        <f t="shared" si="403"/>
        <v>Partial discharge, Normal </v>
      </c>
      <c r="W456" s="17" t="str">
        <f t="shared" si="3"/>
        <v>0.2857142857</v>
      </c>
      <c r="X456" s="17" t="str">
        <f t="shared" si="33"/>
        <v>2.25</v>
      </c>
      <c r="Y456" s="17" t="str">
        <f t="shared" si="9"/>
        <v>0.7777777778</v>
      </c>
      <c r="Z456" s="17" t="s">
        <v>34</v>
      </c>
      <c r="AA456" s="17" t="str">
        <f t="shared" ref="AA456:AA459" si="404">IF(X456&lt;0.1,"Partial Discharges, ",IF(X456&gt;1,"Thermal  Fault &gt;300c and&lt;700 and &gt;700 c"))</f>
        <v>Thermal  Fault &gt;300c and&lt;700 and &gt;700 c</v>
      </c>
      <c r="AB456" s="17" t="s">
        <v>107</v>
      </c>
      <c r="AC456" s="17" t="str">
        <f t="shared" si="5"/>
        <v>2.25</v>
      </c>
      <c r="AD456" s="18" t="str">
        <f t="shared" si="10"/>
        <v>0.2857142857</v>
      </c>
      <c r="AE456" s="17" t="str">
        <f t="shared" si="6"/>
        <v>0.2222222222</v>
      </c>
      <c r="AF456" s="17" t="str">
        <f t="shared" si="11"/>
        <v>4.5</v>
      </c>
      <c r="AG456" s="17" t="str">
        <f t="shared" ref="AG456:AG459" si="405">IF(AC456&gt;1,"Thermal Decomposition, ",IF(AC456&lt;0.1,"Corona,Arching"))</f>
        <v>Thermal Decomposition, </v>
      </c>
      <c r="AH456" s="17" t="str">
        <f t="shared" si="394"/>
        <v>Thermal Decomposition, </v>
      </c>
      <c r="AI456" s="17" t="str">
        <f t="shared" si="16"/>
        <v>Thermal Decomposition,corona </v>
      </c>
      <c r="AJ456" s="17" t="str">
        <f t="shared" si="235"/>
        <v>Thermal Decomposition,corona </v>
      </c>
    </row>
    <row r="457" ht="12.75" customHeight="1">
      <c r="A457" s="11">
        <v>456.0</v>
      </c>
      <c r="B457" s="21" t="s">
        <v>423</v>
      </c>
      <c r="C457" s="21" t="s">
        <v>241</v>
      </c>
      <c r="D457" s="21" t="s">
        <v>424</v>
      </c>
      <c r="E457" s="21" t="s">
        <v>422</v>
      </c>
      <c r="F457" s="21">
        <v>2013.0</v>
      </c>
      <c r="G457" s="17">
        <v>7.5</v>
      </c>
      <c r="H457" s="16">
        <v>3.0</v>
      </c>
      <c r="I457" s="16">
        <v>10032.0</v>
      </c>
      <c r="J457" s="16">
        <v>63578.4</v>
      </c>
      <c r="K457" s="16">
        <v>78.45</v>
      </c>
      <c r="L457" s="16">
        <v>682.4250000000001</v>
      </c>
      <c r="M457" s="16">
        <v>7.0</v>
      </c>
      <c r="N457" s="16">
        <v>6.0</v>
      </c>
      <c r="O457" s="16">
        <v>5.0</v>
      </c>
      <c r="P457" s="17">
        <v>9.0</v>
      </c>
      <c r="Q457" s="17" t="str">
        <f t="shared" si="1"/>
        <v>1.8</v>
      </c>
      <c r="R457" s="17" t="str">
        <f t="shared" si="2"/>
        <v>2.333333333</v>
      </c>
      <c r="S457" s="17" t="str">
        <f t="shared" si="8"/>
        <v>0.8333333333</v>
      </c>
      <c r="T457" s="17" t="s">
        <v>30</v>
      </c>
      <c r="U457" s="17" t="s">
        <v>30</v>
      </c>
      <c r="V457" s="17" t="str">
        <f t="shared" si="403"/>
        <v>Partial discharge, Normal </v>
      </c>
      <c r="W457" s="17" t="str">
        <f t="shared" si="3"/>
        <v>1.8</v>
      </c>
      <c r="X457" s="17" t="str">
        <f t="shared" si="33"/>
        <v>2.333333333</v>
      </c>
      <c r="Y457" s="17" t="str">
        <f t="shared" si="9"/>
        <v>0.8333333333</v>
      </c>
      <c r="Z457" s="17" t="str">
        <f>IF(W457&gt;1,"Discharge of Low Energy,  ",IF(W457&lt;0.1,"Thermal  Fault&gt; 300c and&lt;700 c"))</f>
        <v>Discharge of Low Energy,  </v>
      </c>
      <c r="AA457" s="17" t="str">
        <f t="shared" si="404"/>
        <v>Thermal  Fault &gt;300c and&lt;700 and &gt;700 c</v>
      </c>
      <c r="AB457" s="17" t="s">
        <v>107</v>
      </c>
      <c r="AC457" s="17" t="str">
        <f t="shared" si="5"/>
        <v>2.333333333</v>
      </c>
      <c r="AD457" s="18" t="str">
        <f t="shared" si="10"/>
        <v>1.8</v>
      </c>
      <c r="AE457" s="17" t="str">
        <f t="shared" si="6"/>
        <v>1.285714286</v>
      </c>
      <c r="AF457" s="17" t="str">
        <f t="shared" si="11"/>
        <v>0.6666666667</v>
      </c>
      <c r="AG457" s="17" t="str">
        <f t="shared" si="405"/>
        <v>Thermal Decomposition, </v>
      </c>
      <c r="AH457" s="17" t="str">
        <f t="shared" si="394"/>
        <v>Arching</v>
      </c>
      <c r="AI457" s="17" t="str">
        <f t="shared" si="16"/>
        <v>Arching</v>
      </c>
      <c r="AJ457" s="17" t="str">
        <f t="shared" si="235"/>
        <v>Thermal Decomposition,corona </v>
      </c>
    </row>
    <row r="458" ht="12.75" customHeight="1">
      <c r="A458" s="11">
        <v>457.0</v>
      </c>
      <c r="B458" s="21" t="s">
        <v>425</v>
      </c>
      <c r="C458" s="21" t="s">
        <v>78</v>
      </c>
      <c r="D458" s="21" t="s">
        <v>184</v>
      </c>
      <c r="E458" s="21" t="s">
        <v>179</v>
      </c>
      <c r="F458" s="21">
        <v>2001.0</v>
      </c>
      <c r="G458" s="17">
        <v>7.1</v>
      </c>
      <c r="H458" s="16">
        <v>6.0</v>
      </c>
      <c r="I458" s="16">
        <v>10851.640000000001</v>
      </c>
      <c r="J458" s="16">
        <v>56995.462999999996</v>
      </c>
      <c r="K458" s="16">
        <v>197.664</v>
      </c>
      <c r="L458" s="16">
        <v>2104.369</v>
      </c>
      <c r="M458" s="16">
        <v>10.152999999999999</v>
      </c>
      <c r="N458" s="16">
        <v>4.0</v>
      </c>
      <c r="O458" s="16">
        <v>8.0</v>
      </c>
      <c r="P458" s="17">
        <v>8.0</v>
      </c>
      <c r="Q458" s="17" t="str">
        <f t="shared" si="1"/>
        <v>1</v>
      </c>
      <c r="R458" s="17" t="str">
        <f t="shared" si="2"/>
        <v>1.692166667</v>
      </c>
      <c r="S458" s="17" t="str">
        <f t="shared" si="8"/>
        <v>2</v>
      </c>
      <c r="T458" s="17" t="s">
        <v>30</v>
      </c>
      <c r="U458" s="17" t="s">
        <v>30</v>
      </c>
      <c r="V458" s="17" t="s">
        <v>37</v>
      </c>
      <c r="W458" s="17" t="str">
        <f t="shared" si="3"/>
        <v>1</v>
      </c>
      <c r="X458" s="17" t="str">
        <f t="shared" si="33"/>
        <v>1.692166667</v>
      </c>
      <c r="Y458" s="17" t="str">
        <f t="shared" si="9"/>
        <v>2</v>
      </c>
      <c r="Z458" s="17" t="s">
        <v>34</v>
      </c>
      <c r="AA458" s="17" t="str">
        <f t="shared" si="404"/>
        <v>Thermal  Fault &gt;300c and&lt;700 and &gt;700 c</v>
      </c>
      <c r="AB458" s="17" t="str">
        <f>IF(Y458&lt;0.2,"Partial Discharges, ",IF(Y458&gt;1,"Thermal  Fault  &gt;700 c"))</f>
        <v>Thermal  Fault  &gt;700 c</v>
      </c>
      <c r="AC458" s="17" t="str">
        <f t="shared" si="5"/>
        <v>1.692166667</v>
      </c>
      <c r="AD458" s="18" t="str">
        <f t="shared" si="10"/>
        <v>1</v>
      </c>
      <c r="AE458" s="17" t="str">
        <f t="shared" si="6"/>
        <v>0.7879444499</v>
      </c>
      <c r="AF458" s="17" t="str">
        <f t="shared" si="11"/>
        <v>0.5</v>
      </c>
      <c r="AG458" s="17" t="str">
        <f t="shared" si="405"/>
        <v>Thermal Decomposition, </v>
      </c>
      <c r="AH458" s="17" t="str">
        <f t="shared" si="394"/>
        <v>Arching</v>
      </c>
      <c r="AI458" s="17" t="str">
        <f t="shared" si="16"/>
        <v>Arching</v>
      </c>
      <c r="AJ458" s="17" t="str">
        <f t="shared" si="235"/>
        <v>Thermal Decomposition,corona </v>
      </c>
    </row>
    <row r="459" ht="12.75" customHeight="1">
      <c r="A459" s="11">
        <v>458.0</v>
      </c>
      <c r="B459" s="21" t="s">
        <v>426</v>
      </c>
      <c r="C459" s="21" t="s">
        <v>78</v>
      </c>
      <c r="D459" s="21" t="s">
        <v>184</v>
      </c>
      <c r="E459" s="21" t="s">
        <v>138</v>
      </c>
      <c r="F459" s="21">
        <v>2001.0</v>
      </c>
      <c r="G459" s="17">
        <v>7.5</v>
      </c>
      <c r="H459" s="16">
        <v>9.0</v>
      </c>
      <c r="I459" s="16">
        <v>13259.550000000001</v>
      </c>
      <c r="J459" s="16">
        <v>58978.35</v>
      </c>
      <c r="K459" s="16">
        <v>169.79999999999998</v>
      </c>
      <c r="L459" s="16">
        <v>1847.325</v>
      </c>
      <c r="M459" s="16">
        <v>13.350000000000001</v>
      </c>
      <c r="N459" s="16">
        <v>9.075</v>
      </c>
      <c r="O459" s="16">
        <v>9.0</v>
      </c>
      <c r="P459" s="15">
        <v>7.0</v>
      </c>
      <c r="Q459" s="17" t="str">
        <f t="shared" si="1"/>
        <v>0.7777777778</v>
      </c>
      <c r="R459" s="17" t="str">
        <f t="shared" si="2"/>
        <v>1.483333333</v>
      </c>
      <c r="S459" s="17" t="str">
        <f t="shared" si="8"/>
        <v>0.9917355372</v>
      </c>
      <c r="T459" s="17" t="str">
        <f t="shared" ref="T459:T460" si="406">IF(Q459&lt;1,"Partial discharge,Low Temprature thermal fault,")</f>
        <v>Partial discharge,Low Temprature thermal fault,</v>
      </c>
      <c r="U459" s="17" t="s">
        <v>30</v>
      </c>
      <c r="V459" s="17" t="str">
        <f t="shared" ref="V459:V461" si="407">IF(S459&lt;1,"Partial discharge, Normal ",IF(S459&gt;3,"Arching,Thermal  Fault &gt; 700 c"))</f>
        <v>Partial discharge, Normal </v>
      </c>
      <c r="W459" s="17" t="str">
        <f t="shared" si="3"/>
        <v>0.7777777778</v>
      </c>
      <c r="X459" s="17" t="str">
        <f t="shared" si="33"/>
        <v>1.483333333</v>
      </c>
      <c r="Y459" s="17" t="str">
        <f t="shared" si="9"/>
        <v>0.9917355372</v>
      </c>
      <c r="Z459" s="17" t="s">
        <v>34</v>
      </c>
      <c r="AA459" s="17" t="str">
        <f t="shared" si="404"/>
        <v>Thermal  Fault &gt;300c and&lt;700 and &gt;700 c</v>
      </c>
      <c r="AB459" s="17" t="s">
        <v>107</v>
      </c>
      <c r="AC459" s="17" t="str">
        <f t="shared" si="5"/>
        <v>1.483333333</v>
      </c>
      <c r="AD459" s="18" t="str">
        <f t="shared" si="10"/>
        <v>0.7777777778</v>
      </c>
      <c r="AE459" s="17" t="str">
        <f t="shared" si="6"/>
        <v>0.5243445693</v>
      </c>
      <c r="AF459" s="17" t="str">
        <f t="shared" si="11"/>
        <v>1.296428571</v>
      </c>
      <c r="AG459" s="17" t="str">
        <f t="shared" si="405"/>
        <v>Thermal Decomposition, </v>
      </c>
      <c r="AH459" s="17" t="str">
        <f t="shared" si="394"/>
        <v>Arching</v>
      </c>
      <c r="AI459" s="17" t="str">
        <f t="shared" si="16"/>
        <v>Arching</v>
      </c>
      <c r="AJ459" s="17" t="str">
        <f t="shared" si="235"/>
        <v>Thermal Decomposition,corona </v>
      </c>
    </row>
    <row r="460" ht="12.75" customHeight="1">
      <c r="A460" s="11">
        <v>459.0</v>
      </c>
      <c r="B460" s="21" t="s">
        <v>427</v>
      </c>
      <c r="C460" s="21" t="s">
        <v>78</v>
      </c>
      <c r="D460" s="21" t="s">
        <v>184</v>
      </c>
      <c r="E460" s="21" t="s">
        <v>138</v>
      </c>
      <c r="F460" s="21">
        <v>2001.0</v>
      </c>
      <c r="G460" s="17">
        <v>7.8</v>
      </c>
      <c r="H460" s="16">
        <v>9.984</v>
      </c>
      <c r="I460" s="16">
        <v>14292.251999999999</v>
      </c>
      <c r="J460" s="16">
        <v>60179.262</v>
      </c>
      <c r="K460" s="16">
        <v>217.15199999999996</v>
      </c>
      <c r="L460" s="16">
        <v>2229.552</v>
      </c>
      <c r="M460" s="16">
        <v>9.672</v>
      </c>
      <c r="N460" s="16">
        <v>6.708</v>
      </c>
      <c r="O460" s="16">
        <v>25.35</v>
      </c>
      <c r="P460" s="17">
        <v>5.0</v>
      </c>
      <c r="Q460" s="17" t="str">
        <f t="shared" si="1"/>
        <v>0.1972386588</v>
      </c>
      <c r="R460" s="17" t="str">
        <f t="shared" si="2"/>
        <v>0.96875</v>
      </c>
      <c r="S460" s="17" t="str">
        <f t="shared" si="8"/>
        <v>3.779069767</v>
      </c>
      <c r="T460" s="17" t="str">
        <f t="shared" si="406"/>
        <v>Partial discharge,Low Temprature thermal fault,</v>
      </c>
      <c r="U460" s="17" t="s">
        <v>31</v>
      </c>
      <c r="V460" s="17" t="str">
        <f t="shared" si="407"/>
        <v>Arching,Thermal  Fault &gt; 700 c</v>
      </c>
      <c r="W460" s="17" t="str">
        <f t="shared" si="3"/>
        <v>0.1972386588</v>
      </c>
      <c r="X460" s="17" t="str">
        <f t="shared" si="33"/>
        <v>0.96875</v>
      </c>
      <c r="Y460" s="17" t="str">
        <f t="shared" si="9"/>
        <v>3.779069767</v>
      </c>
      <c r="Z460" s="17" t="s">
        <v>34</v>
      </c>
      <c r="AA460" s="17" t="s">
        <v>34</v>
      </c>
      <c r="AB460" s="17" t="str">
        <f>IF(Y460&lt;0.2,"Partial Discharges, ",IF(Y460&gt;1,"Thermal  Fault  &gt;700 c"))</f>
        <v>Thermal  Fault  &gt;700 c</v>
      </c>
      <c r="AC460" s="17" t="str">
        <f t="shared" si="5"/>
        <v>0.96875</v>
      </c>
      <c r="AD460" s="18" t="str">
        <f t="shared" si="10"/>
        <v>0.1972386588</v>
      </c>
      <c r="AE460" s="17" t="str">
        <f t="shared" si="6"/>
        <v>0.5169561621</v>
      </c>
      <c r="AF460" s="17" t="str">
        <f t="shared" si="11"/>
        <v>1.3416</v>
      </c>
      <c r="AG460" s="17" t="s">
        <v>30</v>
      </c>
      <c r="AH460" s="17" t="str">
        <f t="shared" si="394"/>
        <v>Thermal Decomposition, </v>
      </c>
      <c r="AI460" s="17" t="str">
        <f t="shared" si="16"/>
        <v>Arching</v>
      </c>
      <c r="AJ460" s="17" t="str">
        <f t="shared" si="235"/>
        <v>Thermal Decomposition,corona </v>
      </c>
    </row>
    <row r="461" ht="12.75" customHeight="1">
      <c r="A461" s="11">
        <v>460.0</v>
      </c>
      <c r="B461" s="21" t="s">
        <v>428</v>
      </c>
      <c r="C461" s="21" t="s">
        <v>78</v>
      </c>
      <c r="D461" s="21" t="s">
        <v>178</v>
      </c>
      <c r="E461" s="21" t="s">
        <v>122</v>
      </c>
      <c r="F461" s="21">
        <v>2009.0</v>
      </c>
      <c r="G461" s="17">
        <v>8.4</v>
      </c>
      <c r="H461" s="16">
        <v>8.148000000000001</v>
      </c>
      <c r="I461" s="16">
        <v>12418.560000000001</v>
      </c>
      <c r="J461" s="16">
        <v>68083.764</v>
      </c>
      <c r="K461" s="16">
        <v>262.584</v>
      </c>
      <c r="L461" s="16">
        <v>2691.7380000000003</v>
      </c>
      <c r="M461" s="16">
        <v>13.776000000000002</v>
      </c>
      <c r="N461" s="16">
        <v>9.0</v>
      </c>
      <c r="O461" s="16">
        <v>6.0</v>
      </c>
      <c r="P461" s="16">
        <v>9.0</v>
      </c>
      <c r="Q461" s="17" t="str">
        <f t="shared" si="1"/>
        <v>1.5</v>
      </c>
      <c r="R461" s="17" t="str">
        <f t="shared" si="2"/>
        <v>1.690721649</v>
      </c>
      <c r="S461" s="17" t="str">
        <f t="shared" si="8"/>
        <v>0.6666666667</v>
      </c>
      <c r="T461" s="17" t="s">
        <v>30</v>
      </c>
      <c r="U461" s="17" t="str">
        <f>IF(R461&gt;1,"Thermal Fault &lt;700c, thermal fault &gt;700c ")</f>
        <v>Thermal Fault &lt;700c, thermal fault &gt;700c </v>
      </c>
      <c r="V461" s="17" t="str">
        <f t="shared" si="407"/>
        <v>Partial discharge, Normal </v>
      </c>
      <c r="W461" s="17" t="str">
        <f t="shared" si="3"/>
        <v>1.5</v>
      </c>
      <c r="X461" s="17" t="str">
        <f t="shared" si="33"/>
        <v>1.690721649</v>
      </c>
      <c r="Y461" s="17" t="str">
        <f t="shared" si="9"/>
        <v>0.6666666667</v>
      </c>
      <c r="Z461" s="17" t="str">
        <f>IF(W461&gt;1,"Discharge of Low Energy,  ",IF(W461&lt;0.1,"Thermal  Fault&gt; 300c and&lt;700 c"))</f>
        <v>Discharge of Low Energy,  </v>
      </c>
      <c r="AA461" s="17" t="str">
        <f>IF(X461&lt;0.1,"Partial Discharges, ",IF(X461&gt;1,"Thermal  Fault &gt;300c and&lt;700 and &gt;700 c"))</f>
        <v>Thermal  Fault &gt;300c and&lt;700 and &gt;700 c</v>
      </c>
      <c r="AB461" s="17" t="s">
        <v>107</v>
      </c>
      <c r="AC461" s="17" t="str">
        <f t="shared" si="5"/>
        <v>1.690721649</v>
      </c>
      <c r="AD461" s="18" t="str">
        <f t="shared" si="10"/>
        <v>1.5</v>
      </c>
      <c r="AE461" s="17" t="str">
        <f t="shared" si="6"/>
        <v>0.6533101045</v>
      </c>
      <c r="AF461" s="17" t="str">
        <f t="shared" si="11"/>
        <v>1</v>
      </c>
      <c r="AG461" s="17" t="str">
        <f>IF(AC461&gt;1,"Thermal Decomposition, ",IF(AC461&lt;0.1,"Corona,Arching"))</f>
        <v>Thermal Decomposition, </v>
      </c>
      <c r="AH461" s="17" t="str">
        <f t="shared" si="394"/>
        <v>Arching</v>
      </c>
      <c r="AI461" s="17" t="str">
        <f t="shared" si="16"/>
        <v>Arching</v>
      </c>
      <c r="AJ461" s="17" t="str">
        <f t="shared" si="235"/>
        <v>Thermal Decomposition,corona </v>
      </c>
    </row>
    <row r="462" ht="12.75" customHeight="1">
      <c r="A462" s="11">
        <v>461.0</v>
      </c>
      <c r="B462" s="21" t="s">
        <v>429</v>
      </c>
      <c r="C462" s="21" t="s">
        <v>78</v>
      </c>
      <c r="D462" s="21" t="s">
        <v>178</v>
      </c>
      <c r="E462" s="21" t="s">
        <v>138</v>
      </c>
      <c r="F462" s="21">
        <v>2003.0</v>
      </c>
      <c r="G462" s="17">
        <v>7.6</v>
      </c>
      <c r="H462" s="16">
        <v>12.084</v>
      </c>
      <c r="I462" s="16">
        <v>15540.48</v>
      </c>
      <c r="J462" s="16">
        <v>57198.132</v>
      </c>
      <c r="K462" s="16">
        <v>190.83599999999998</v>
      </c>
      <c r="L462" s="16">
        <v>2236.528</v>
      </c>
      <c r="M462" s="16">
        <v>7.904</v>
      </c>
      <c r="N462" s="16">
        <v>7.0</v>
      </c>
      <c r="O462" s="16">
        <v>8.0</v>
      </c>
      <c r="P462" s="16">
        <v>5.0</v>
      </c>
      <c r="Q462" s="17" t="str">
        <f t="shared" si="1"/>
        <v>0.625</v>
      </c>
      <c r="R462" s="17" t="str">
        <f t="shared" si="2"/>
        <v>0.6540880503</v>
      </c>
      <c r="S462" s="17" t="str">
        <f t="shared" si="8"/>
        <v>1.142857143</v>
      </c>
      <c r="T462" s="17" t="str">
        <f>IF(Q462&lt;1,"Partial discharge,Low Temprature thermal fault,")</f>
        <v>Partial discharge,Low Temprature thermal fault,</v>
      </c>
      <c r="U462" s="17" t="s">
        <v>31</v>
      </c>
      <c r="V462" s="17" t="s">
        <v>37</v>
      </c>
      <c r="W462" s="17" t="str">
        <f t="shared" si="3"/>
        <v>0.625</v>
      </c>
      <c r="X462" s="17" t="str">
        <f t="shared" si="33"/>
        <v>0.6540880503</v>
      </c>
      <c r="Y462" s="17" t="str">
        <f t="shared" si="9"/>
        <v>1.142857143</v>
      </c>
      <c r="Z462" s="17" t="s">
        <v>34</v>
      </c>
      <c r="AA462" s="17" t="s">
        <v>34</v>
      </c>
      <c r="AB462" s="17" t="str">
        <f>IF(Y462&lt;0.2,"Partial Discharges, ",IF(Y462&gt;1,"Thermal  Fault  &gt;700 c"))</f>
        <v>Thermal  Fault  &gt;700 c</v>
      </c>
      <c r="AC462" s="17" t="str">
        <f t="shared" si="5"/>
        <v>0.6540880503</v>
      </c>
      <c r="AD462" s="18" t="str">
        <f t="shared" si="10"/>
        <v>0.625</v>
      </c>
      <c r="AE462" s="17" t="str">
        <f t="shared" si="6"/>
        <v>0.6325910931</v>
      </c>
      <c r="AF462" s="17" t="str">
        <f t="shared" si="11"/>
        <v>1.4</v>
      </c>
      <c r="AG462" s="17" t="s">
        <v>30</v>
      </c>
      <c r="AH462" s="17" t="str">
        <f t="shared" si="394"/>
        <v>Thermal Decomposition, </v>
      </c>
      <c r="AI462" s="17" t="str">
        <f t="shared" si="16"/>
        <v>Arching</v>
      </c>
      <c r="AJ462" s="17" t="str">
        <f t="shared" si="235"/>
        <v>Thermal Decomposition,corona </v>
      </c>
    </row>
    <row r="463" ht="12.75" customHeight="1">
      <c r="A463" s="11">
        <v>462.0</v>
      </c>
      <c r="B463" s="21">
        <v>2016629.0</v>
      </c>
      <c r="C463" s="21" t="s">
        <v>78</v>
      </c>
      <c r="D463" s="21" t="s">
        <v>184</v>
      </c>
      <c r="E463" s="21" t="s">
        <v>91</v>
      </c>
      <c r="F463" s="21">
        <v>2004.0</v>
      </c>
      <c r="G463" s="17">
        <v>7.0</v>
      </c>
      <c r="H463" s="16">
        <v>6.0200000000000005</v>
      </c>
      <c r="I463" s="16">
        <v>11921.56</v>
      </c>
      <c r="J463" s="16">
        <v>54676.51000000001</v>
      </c>
      <c r="K463" s="16">
        <v>219.73000000000002</v>
      </c>
      <c r="L463" s="16">
        <v>2304.05</v>
      </c>
      <c r="M463" s="16">
        <v>6.58</v>
      </c>
      <c r="N463" s="16">
        <v>6.0</v>
      </c>
      <c r="O463" s="16">
        <v>4.55</v>
      </c>
      <c r="P463" s="16">
        <v>8.0</v>
      </c>
      <c r="Q463" s="17" t="str">
        <f t="shared" si="1"/>
        <v>1.758241758</v>
      </c>
      <c r="R463" s="17" t="str">
        <f t="shared" si="2"/>
        <v>1.093023256</v>
      </c>
      <c r="S463" s="17" t="str">
        <f t="shared" si="8"/>
        <v>0.7583333333</v>
      </c>
      <c r="T463" s="17" t="s">
        <v>30</v>
      </c>
      <c r="U463" s="17" t="str">
        <f t="shared" ref="U463:U464" si="408">IF(R463&gt;1,"Thermal Fault &lt;700c, thermal fault &gt;700c ")</f>
        <v>Thermal Fault &lt;700c, thermal fault &gt;700c </v>
      </c>
      <c r="V463" s="17" t="str">
        <f>IF(S463&lt;1,"Partial discharge, Normal ",IF(S463&gt;3,"Arching,Thermal  Fault &gt; 700 c"))</f>
        <v>Partial discharge, Normal </v>
      </c>
      <c r="W463" s="17" t="str">
        <f t="shared" si="3"/>
        <v>1.758241758</v>
      </c>
      <c r="X463" s="17" t="str">
        <f t="shared" si="33"/>
        <v>1.093023256</v>
      </c>
      <c r="Y463" s="17" t="str">
        <f t="shared" si="9"/>
        <v>0.7583333333</v>
      </c>
      <c r="Z463" s="17" t="str">
        <f>IF(W463&gt;1,"Discharge of Low Energy,  ",IF(W463&lt;0.1,"Thermal  Fault&gt; 300c and&lt;700 c"))</f>
        <v>Discharge of Low Energy,  </v>
      </c>
      <c r="AA463" s="17" t="str">
        <f t="shared" ref="AA463:AA464" si="409">IF(X463&lt;0.1,"Partial Discharges, ",IF(X463&gt;1,"Thermal  Fault &gt;300c and&lt;700 and &gt;700 c"))</f>
        <v>Thermal  Fault &gt;300c and&lt;700 and &gt;700 c</v>
      </c>
      <c r="AB463" s="17" t="s">
        <v>107</v>
      </c>
      <c r="AC463" s="17" t="str">
        <f t="shared" si="5"/>
        <v>1.093023256</v>
      </c>
      <c r="AD463" s="18" t="str">
        <f t="shared" si="10"/>
        <v>1.758241758</v>
      </c>
      <c r="AE463" s="17" t="str">
        <f t="shared" si="6"/>
        <v>1.215805471</v>
      </c>
      <c r="AF463" s="17" t="str">
        <f t="shared" si="11"/>
        <v>0.75</v>
      </c>
      <c r="AG463" s="17" t="str">
        <f t="shared" ref="AG463:AG464" si="410">IF(AC463&gt;1,"Thermal Decomposition, ",IF(AC463&lt;0.1,"Corona,Arching"))</f>
        <v>Thermal Decomposition, </v>
      </c>
      <c r="AH463" s="17" t="str">
        <f t="shared" si="394"/>
        <v>Arching</v>
      </c>
      <c r="AI463" s="17" t="str">
        <f t="shared" si="16"/>
        <v>Arching</v>
      </c>
      <c r="AJ463" s="17" t="str">
        <f t="shared" si="235"/>
        <v>Thermal Decomposition,corona </v>
      </c>
    </row>
    <row r="464" ht="12.75" customHeight="1">
      <c r="A464" s="11">
        <v>463.0</v>
      </c>
      <c r="B464" s="28" t="s">
        <v>155</v>
      </c>
      <c r="C464" s="21" t="s">
        <v>82</v>
      </c>
      <c r="D464" s="21" t="s">
        <v>193</v>
      </c>
      <c r="E464" s="21" t="s">
        <v>324</v>
      </c>
      <c r="F464" s="21" t="s">
        <v>155</v>
      </c>
      <c r="G464" s="17">
        <v>8.2</v>
      </c>
      <c r="H464" s="16">
        <v>8.856</v>
      </c>
      <c r="I464" s="16">
        <v>15371.555999999999</v>
      </c>
      <c r="J464" s="16">
        <v>63749.096</v>
      </c>
      <c r="K464" s="16">
        <v>164.492</v>
      </c>
      <c r="L464" s="16">
        <v>1681.3279999999995</v>
      </c>
      <c r="M464" s="16">
        <v>15.743999999999996</v>
      </c>
      <c r="N464" s="16">
        <v>4.0</v>
      </c>
      <c r="O464" s="16">
        <v>9.0</v>
      </c>
      <c r="P464" s="16">
        <v>4.0</v>
      </c>
      <c r="Q464" s="17" t="str">
        <f t="shared" si="1"/>
        <v>0.4444444444</v>
      </c>
      <c r="R464" s="17" t="str">
        <f t="shared" si="2"/>
        <v>1.777777778</v>
      </c>
      <c r="S464" s="17" t="str">
        <f t="shared" si="8"/>
        <v>2.25</v>
      </c>
      <c r="T464" s="17" t="str">
        <f t="shared" ref="T464:T466" si="411">IF(Q464&lt;1,"Partial discharge,Low Temprature thermal fault,")</f>
        <v>Partial discharge,Low Temprature thermal fault,</v>
      </c>
      <c r="U464" s="17" t="str">
        <f t="shared" si="408"/>
        <v>Thermal Fault &lt;700c, thermal fault &gt;700c </v>
      </c>
      <c r="V464" s="17" t="s">
        <v>37</v>
      </c>
      <c r="W464" s="17" t="str">
        <f t="shared" si="3"/>
        <v>0.4444444444</v>
      </c>
      <c r="X464" s="17" t="str">
        <f t="shared" si="33"/>
        <v>1.777777778</v>
      </c>
      <c r="Y464" s="17" t="str">
        <f t="shared" si="9"/>
        <v>2.25</v>
      </c>
      <c r="Z464" s="17" t="s">
        <v>34</v>
      </c>
      <c r="AA464" s="17" t="str">
        <f t="shared" si="409"/>
        <v>Thermal  Fault &gt;300c and&lt;700 and &gt;700 c</v>
      </c>
      <c r="AB464" s="17" t="str">
        <f t="shared" ref="AB464:AB466" si="412">IF(Y464&lt;0.2,"Partial Discharges, ",IF(Y464&gt;1,"Thermal  Fault  &gt;700 c"))</f>
        <v>Thermal  Fault  &gt;700 c</v>
      </c>
      <c r="AC464" s="17" t="str">
        <f t="shared" si="5"/>
        <v>1.777777778</v>
      </c>
      <c r="AD464" s="18" t="str">
        <f t="shared" si="10"/>
        <v>0.4444444444</v>
      </c>
      <c r="AE464" s="17" t="str">
        <f t="shared" si="6"/>
        <v>0.2540650407</v>
      </c>
      <c r="AF464" s="17" t="str">
        <f t="shared" si="11"/>
        <v>1</v>
      </c>
      <c r="AG464" s="17" t="str">
        <f t="shared" si="410"/>
        <v>Thermal Decomposition, </v>
      </c>
      <c r="AH464" s="17" t="str">
        <f t="shared" si="394"/>
        <v>Thermal Decomposition, </v>
      </c>
      <c r="AI464" s="17" t="str">
        <f t="shared" si="16"/>
        <v>Thermal Decomposition,corona </v>
      </c>
      <c r="AJ464" s="17" t="str">
        <f t="shared" si="235"/>
        <v>Thermal Decomposition,corona </v>
      </c>
    </row>
    <row r="465" ht="12.75" customHeight="1">
      <c r="A465" s="11">
        <v>464.0</v>
      </c>
      <c r="B465" s="21" t="s">
        <v>155</v>
      </c>
      <c r="C465" s="21" t="s">
        <v>82</v>
      </c>
      <c r="D465" s="21" t="s">
        <v>193</v>
      </c>
      <c r="E465" s="21" t="s">
        <v>324</v>
      </c>
      <c r="F465" s="21" t="s">
        <v>155</v>
      </c>
      <c r="G465" s="17">
        <v>8.6</v>
      </c>
      <c r="H465" s="16">
        <v>19.264</v>
      </c>
      <c r="I465" s="16">
        <v>17423.772</v>
      </c>
      <c r="J465" s="16">
        <v>65489.602</v>
      </c>
      <c r="K465" s="16">
        <v>160.218</v>
      </c>
      <c r="L465" s="16">
        <v>1731.438</v>
      </c>
      <c r="M465" s="16">
        <v>15.049999999999999</v>
      </c>
      <c r="N465" s="16">
        <v>8.0</v>
      </c>
      <c r="O465" s="16">
        <v>15.565999999999999</v>
      </c>
      <c r="P465" s="16">
        <v>7.0</v>
      </c>
      <c r="Q465" s="17" t="str">
        <f t="shared" si="1"/>
        <v>0.4496980599</v>
      </c>
      <c r="R465" s="17" t="str">
        <f t="shared" si="2"/>
        <v>0.78125</v>
      </c>
      <c r="S465" s="17" t="str">
        <f t="shared" si="8"/>
        <v>1.94575</v>
      </c>
      <c r="T465" s="17" t="str">
        <f t="shared" si="411"/>
        <v>Partial discharge,Low Temprature thermal fault,</v>
      </c>
      <c r="U465" s="17" t="s">
        <v>31</v>
      </c>
      <c r="V465" s="17" t="s">
        <v>37</v>
      </c>
      <c r="W465" s="17" t="str">
        <f t="shared" si="3"/>
        <v>0.4496980599</v>
      </c>
      <c r="X465" s="17" t="str">
        <f t="shared" si="33"/>
        <v>0.78125</v>
      </c>
      <c r="Y465" s="17" t="str">
        <f t="shared" si="9"/>
        <v>1.94575</v>
      </c>
      <c r="Z465" s="17" t="s">
        <v>34</v>
      </c>
      <c r="AA465" s="17" t="s">
        <v>34</v>
      </c>
      <c r="AB465" s="17" t="str">
        <f t="shared" si="412"/>
        <v>Thermal  Fault  &gt;700 c</v>
      </c>
      <c r="AC465" s="17" t="str">
        <f t="shared" si="5"/>
        <v>0.78125</v>
      </c>
      <c r="AD465" s="18" t="str">
        <f t="shared" si="10"/>
        <v>0.4496980599</v>
      </c>
      <c r="AE465" s="17" t="str">
        <f t="shared" si="6"/>
        <v>0.4651162791</v>
      </c>
      <c r="AF465" s="17" t="str">
        <f t="shared" si="11"/>
        <v>1.142857143</v>
      </c>
      <c r="AG465" s="17" t="s">
        <v>30</v>
      </c>
      <c r="AH465" s="17" t="str">
        <f t="shared" si="394"/>
        <v>Thermal Decomposition, </v>
      </c>
      <c r="AI465" s="17" t="str">
        <f t="shared" si="16"/>
        <v>Arching</v>
      </c>
      <c r="AJ465" s="17" t="str">
        <f t="shared" si="235"/>
        <v>Thermal Decomposition,corona </v>
      </c>
    </row>
    <row r="466" ht="12.75" customHeight="1">
      <c r="A466" s="11">
        <v>465.0</v>
      </c>
      <c r="B466" s="21" t="s">
        <v>155</v>
      </c>
      <c r="C466" s="21" t="s">
        <v>82</v>
      </c>
      <c r="D466" s="21" t="s">
        <v>193</v>
      </c>
      <c r="E466" s="21" t="s">
        <v>324</v>
      </c>
      <c r="F466" s="21"/>
      <c r="G466" s="17">
        <v>7.6</v>
      </c>
      <c r="H466" s="16">
        <v>13.072000000000001</v>
      </c>
      <c r="I466" s="16">
        <v>14817.872</v>
      </c>
      <c r="J466" s="16">
        <v>57328.24399999999</v>
      </c>
      <c r="K466" s="16">
        <v>226.328</v>
      </c>
      <c r="L466" s="16">
        <v>2904.2639999999997</v>
      </c>
      <c r="M466" s="16">
        <v>14.743999999999998</v>
      </c>
      <c r="N466" s="16">
        <v>8.0</v>
      </c>
      <c r="O466" s="16">
        <v>9.0</v>
      </c>
      <c r="P466" s="16">
        <v>3.0</v>
      </c>
      <c r="Q466" s="17" t="str">
        <f t="shared" si="1"/>
        <v>0.3333333333</v>
      </c>
      <c r="R466" s="17" t="str">
        <f t="shared" si="2"/>
        <v>1.127906977</v>
      </c>
      <c r="S466" s="17" t="str">
        <f t="shared" si="8"/>
        <v>1.125</v>
      </c>
      <c r="T466" s="17" t="str">
        <f t="shared" si="411"/>
        <v>Partial discharge,Low Temprature thermal fault,</v>
      </c>
      <c r="U466" s="17" t="str">
        <f>IF(R466&gt;1,"Thermal Fault &lt;700c, thermal fault &gt;700c ")</f>
        <v>Thermal Fault &lt;700c, thermal fault &gt;700c </v>
      </c>
      <c r="V466" s="17" t="s">
        <v>37</v>
      </c>
      <c r="W466" s="17" t="str">
        <f t="shared" si="3"/>
        <v>0.3333333333</v>
      </c>
      <c r="X466" s="17" t="str">
        <f t="shared" si="33"/>
        <v>1.127906977</v>
      </c>
      <c r="Y466" s="17" t="str">
        <f t="shared" si="9"/>
        <v>1.125</v>
      </c>
      <c r="Z466" s="17" t="s">
        <v>34</v>
      </c>
      <c r="AA466" s="17" t="str">
        <f>IF(X466&lt;0.1,"Partial Discharges, ",IF(X466&gt;1,"Thermal  Fault &gt;300c and&lt;700 and &gt;700 c"))</f>
        <v>Thermal  Fault &gt;300c and&lt;700 and &gt;700 c</v>
      </c>
      <c r="AB466" s="17" t="str">
        <f t="shared" si="412"/>
        <v>Thermal  Fault  &gt;700 c</v>
      </c>
      <c r="AC466" s="17" t="str">
        <f t="shared" si="5"/>
        <v>1.127906977</v>
      </c>
      <c r="AD466" s="18" t="str">
        <f t="shared" si="10"/>
        <v>0.3333333333</v>
      </c>
      <c r="AE466" s="17" t="str">
        <f t="shared" si="6"/>
        <v>0.203472599</v>
      </c>
      <c r="AF466" s="17" t="str">
        <f t="shared" si="11"/>
        <v>2.666666667</v>
      </c>
      <c r="AG466" s="17" t="str">
        <f>IF(AC466&gt;1,"Thermal Decomposition, ",IF(AC466&lt;0.1,"Corona,Arching"))</f>
        <v>Thermal Decomposition, </v>
      </c>
      <c r="AH466" s="17" t="str">
        <f t="shared" si="394"/>
        <v>Thermal Decomposition, </v>
      </c>
      <c r="AI466" s="17" t="str">
        <f t="shared" si="16"/>
        <v>Thermal Decomposition,corona </v>
      </c>
      <c r="AJ466" s="17" t="str">
        <f t="shared" si="235"/>
        <v>Thermal Decomposition,corona </v>
      </c>
    </row>
    <row r="467" ht="12.75" customHeight="1">
      <c r="A467" s="11">
        <v>466.0</v>
      </c>
      <c r="B467" s="21" t="s">
        <v>185</v>
      </c>
      <c r="C467" s="21" t="s">
        <v>78</v>
      </c>
      <c r="D467" s="17" t="s">
        <v>184</v>
      </c>
      <c r="E467" s="21" t="s">
        <v>179</v>
      </c>
      <c r="F467" s="21">
        <v>2011.0</v>
      </c>
      <c r="G467" s="17">
        <v>7.2</v>
      </c>
      <c r="H467" s="16">
        <v>10.224000000000002</v>
      </c>
      <c r="I467" s="16">
        <v>12821.4</v>
      </c>
      <c r="J467" s="16">
        <v>56648.808</v>
      </c>
      <c r="K467" s="16">
        <v>194.976</v>
      </c>
      <c r="L467" s="16">
        <v>1673.208</v>
      </c>
      <c r="M467" s="16">
        <v>6.768000000000001</v>
      </c>
      <c r="N467" s="16">
        <v>9.0</v>
      </c>
      <c r="O467" s="16">
        <v>6.0</v>
      </c>
      <c r="P467" s="16">
        <v>9.0</v>
      </c>
      <c r="Q467" s="17" t="str">
        <f t="shared" si="1"/>
        <v>1.5</v>
      </c>
      <c r="R467" s="17" t="str">
        <f t="shared" si="2"/>
        <v>0.661971831</v>
      </c>
      <c r="S467" s="17" t="str">
        <f t="shared" si="8"/>
        <v>0.6666666667</v>
      </c>
      <c r="T467" s="17" t="s">
        <v>30</v>
      </c>
      <c r="U467" s="17" t="s">
        <v>31</v>
      </c>
      <c r="V467" s="17" t="str">
        <f>IF(S467&lt;1,"Partial discharge, Normal ",IF(S467&gt;3,"Arching,Thermal  Fault &gt; 700 c"))</f>
        <v>Partial discharge, Normal </v>
      </c>
      <c r="W467" s="17" t="str">
        <f t="shared" si="3"/>
        <v>1.5</v>
      </c>
      <c r="X467" s="17" t="str">
        <f t="shared" si="33"/>
        <v>0.661971831</v>
      </c>
      <c r="Y467" s="17" t="str">
        <f t="shared" si="9"/>
        <v>0.6666666667</v>
      </c>
      <c r="Z467" s="17" t="str">
        <f>IF(W467&gt;1,"Discharge of Low Energy,  ",IF(W467&lt;0.1,"Thermal  Fault&gt; 300c and&lt;700 c"))</f>
        <v>Discharge of Low Energy,  </v>
      </c>
      <c r="AA467" s="17" t="s">
        <v>34</v>
      </c>
      <c r="AB467" s="17" t="s">
        <v>107</v>
      </c>
      <c r="AC467" s="17" t="str">
        <f t="shared" si="5"/>
        <v>0.661971831</v>
      </c>
      <c r="AD467" s="18" t="str">
        <f t="shared" si="10"/>
        <v>1.5</v>
      </c>
      <c r="AE467" s="17" t="str">
        <f t="shared" si="6"/>
        <v>1.329787234</v>
      </c>
      <c r="AF467" s="17" t="str">
        <f t="shared" si="11"/>
        <v>1</v>
      </c>
      <c r="AG467" s="17" t="s">
        <v>30</v>
      </c>
      <c r="AH467" s="17" t="str">
        <f t="shared" si="394"/>
        <v>Arching</v>
      </c>
      <c r="AI467" s="17" t="str">
        <f t="shared" si="16"/>
        <v>Arching</v>
      </c>
      <c r="AJ467" s="17" t="str">
        <f t="shared" si="235"/>
        <v>Thermal Decomposition,corona </v>
      </c>
    </row>
    <row r="468" ht="12.75" customHeight="1">
      <c r="A468" s="11">
        <v>467.0</v>
      </c>
      <c r="B468" s="21">
        <v>2016864.0</v>
      </c>
      <c r="C468" s="21" t="s">
        <v>186</v>
      </c>
      <c r="D468" s="21" t="s">
        <v>187</v>
      </c>
      <c r="E468" s="21" t="s">
        <v>91</v>
      </c>
      <c r="F468" s="21">
        <v>2004.0</v>
      </c>
      <c r="G468" s="17">
        <v>7.6</v>
      </c>
      <c r="H468" s="16">
        <v>8.968</v>
      </c>
      <c r="I468" s="16">
        <v>15270.908</v>
      </c>
      <c r="J468" s="16">
        <v>58720.564</v>
      </c>
      <c r="K468" s="16">
        <v>130.264</v>
      </c>
      <c r="L468" s="16">
        <v>1380.54</v>
      </c>
      <c r="M468" s="16">
        <v>7.447999999999999</v>
      </c>
      <c r="N468" s="16">
        <v>7.0</v>
      </c>
      <c r="O468" s="16">
        <v>9.0</v>
      </c>
      <c r="P468" s="16">
        <v>3.0</v>
      </c>
      <c r="Q468" s="17" t="str">
        <f t="shared" si="1"/>
        <v>0.3333333333</v>
      </c>
      <c r="R468" s="17" t="str">
        <f t="shared" si="2"/>
        <v>0.8305084746</v>
      </c>
      <c r="S468" s="17" t="str">
        <f t="shared" si="8"/>
        <v>1.285714286</v>
      </c>
      <c r="T468" s="17" t="str">
        <f>IF(Q468&lt;1,"Partial discharge,Low Temprature thermal fault,")</f>
        <v>Partial discharge,Low Temprature thermal fault,</v>
      </c>
      <c r="U468" s="17" t="s">
        <v>31</v>
      </c>
      <c r="V468" s="17" t="s">
        <v>37</v>
      </c>
      <c r="W468" s="17" t="str">
        <f t="shared" si="3"/>
        <v>0.3333333333</v>
      </c>
      <c r="X468" s="17" t="str">
        <f t="shared" si="33"/>
        <v>0.8305084746</v>
      </c>
      <c r="Y468" s="17" t="str">
        <f t="shared" si="9"/>
        <v>1.285714286</v>
      </c>
      <c r="Z468" s="17" t="s">
        <v>34</v>
      </c>
      <c r="AA468" s="17" t="s">
        <v>34</v>
      </c>
      <c r="AB468" s="17" t="str">
        <f>IF(Y468&lt;0.2,"Partial Discharges, ",IF(Y468&gt;1,"Thermal  Fault  &gt;700 c"))</f>
        <v>Thermal  Fault  &gt;700 c</v>
      </c>
      <c r="AC468" s="17" t="str">
        <f t="shared" si="5"/>
        <v>0.8305084746</v>
      </c>
      <c r="AD468" s="18" t="str">
        <f t="shared" si="10"/>
        <v>0.3333333333</v>
      </c>
      <c r="AE468" s="17" t="str">
        <f t="shared" si="6"/>
        <v>0.402792696</v>
      </c>
      <c r="AF468" s="17" t="str">
        <f t="shared" si="11"/>
        <v>2.333333333</v>
      </c>
      <c r="AG468" s="17" t="s">
        <v>30</v>
      </c>
      <c r="AH468" s="17" t="str">
        <f t="shared" si="394"/>
        <v>Thermal Decomposition, </v>
      </c>
      <c r="AI468" s="17" t="str">
        <f t="shared" si="16"/>
        <v>Arching</v>
      </c>
      <c r="AJ468" s="17" t="str">
        <f t="shared" si="235"/>
        <v>Thermal Decomposition,corona </v>
      </c>
    </row>
    <row r="469" ht="12.75" customHeight="1">
      <c r="A469" s="11">
        <v>468.0</v>
      </c>
      <c r="B469" s="21">
        <v>2017091.0</v>
      </c>
      <c r="C469" s="21" t="s">
        <v>186</v>
      </c>
      <c r="D469" s="21" t="s">
        <v>187</v>
      </c>
      <c r="E469" s="21" t="s">
        <v>91</v>
      </c>
      <c r="F469" s="21">
        <v>2005.0</v>
      </c>
      <c r="G469" s="17">
        <v>8.2</v>
      </c>
      <c r="H469" s="16">
        <v>11.48</v>
      </c>
      <c r="I469" s="16">
        <v>14451.761999999997</v>
      </c>
      <c r="J469" s="16">
        <v>64077.17799999999</v>
      </c>
      <c r="K469" s="16">
        <v>219.92399999999998</v>
      </c>
      <c r="L469" s="16">
        <v>2380.0499999999997</v>
      </c>
      <c r="M469" s="16">
        <v>6.314</v>
      </c>
      <c r="N469" s="16">
        <v>8.0</v>
      </c>
      <c r="O469" s="16">
        <v>6.0</v>
      </c>
      <c r="P469" s="16">
        <v>9.0</v>
      </c>
      <c r="Q469" s="17" t="str">
        <f t="shared" si="1"/>
        <v>1.5</v>
      </c>
      <c r="R469" s="17" t="str">
        <f t="shared" si="2"/>
        <v>0.55</v>
      </c>
      <c r="S469" s="17" t="str">
        <f t="shared" si="8"/>
        <v>0.75</v>
      </c>
      <c r="T469" s="17" t="s">
        <v>30</v>
      </c>
      <c r="U469" s="17" t="s">
        <v>31</v>
      </c>
      <c r="V469" s="17" t="str">
        <f t="shared" ref="V469:V471" si="413">IF(S469&lt;1,"Partial discharge, Normal ",IF(S469&gt;3,"Arching,Thermal  Fault &gt; 700 c"))</f>
        <v>Partial discharge, Normal </v>
      </c>
      <c r="W469" s="17" t="str">
        <f t="shared" si="3"/>
        <v>1.5</v>
      </c>
      <c r="X469" s="17" t="str">
        <f t="shared" si="33"/>
        <v>0.55</v>
      </c>
      <c r="Y469" s="17" t="str">
        <f t="shared" si="9"/>
        <v>0.75</v>
      </c>
      <c r="Z469" s="17" t="str">
        <f>IF(W469&gt;1,"Discharge of Low Energy,  ",IF(W469&lt;0.1,"Thermal  Fault&gt; 300c and&lt;700 c"))</f>
        <v>Discharge of Low Energy,  </v>
      </c>
      <c r="AA469" s="17" t="s">
        <v>34</v>
      </c>
      <c r="AB469" s="17" t="s">
        <v>107</v>
      </c>
      <c r="AC469" s="17" t="str">
        <f t="shared" si="5"/>
        <v>0.55</v>
      </c>
      <c r="AD469" s="18" t="str">
        <f t="shared" si="10"/>
        <v>1.5</v>
      </c>
      <c r="AE469" s="17" t="str">
        <f t="shared" si="6"/>
        <v>1.425403864</v>
      </c>
      <c r="AF469" s="17" t="str">
        <f t="shared" si="11"/>
        <v>0.8888888889</v>
      </c>
      <c r="AG469" s="17" t="s">
        <v>30</v>
      </c>
      <c r="AH469" s="17" t="str">
        <f t="shared" si="394"/>
        <v>Arching</v>
      </c>
      <c r="AI469" s="17" t="str">
        <f t="shared" si="16"/>
        <v>Arching</v>
      </c>
      <c r="AJ469" s="17" t="str">
        <f t="shared" si="235"/>
        <v>Thermal Decomposition,corona </v>
      </c>
    </row>
    <row r="470" ht="12.75" customHeight="1">
      <c r="A470" s="11">
        <v>469.0</v>
      </c>
      <c r="B470" s="21">
        <v>2016865.0</v>
      </c>
      <c r="C470" s="21" t="s">
        <v>186</v>
      </c>
      <c r="D470" s="21" t="s">
        <v>187</v>
      </c>
      <c r="E470" s="21" t="s">
        <v>91</v>
      </c>
      <c r="F470" s="21">
        <v>2004.0</v>
      </c>
      <c r="G470" s="17">
        <v>7.8</v>
      </c>
      <c r="H470" s="16">
        <v>23.477999999999998</v>
      </c>
      <c r="I470" s="16">
        <v>14240.772</v>
      </c>
      <c r="J470" s="16">
        <v>60883.367999999995</v>
      </c>
      <c r="K470" s="16">
        <v>171.28799999999998</v>
      </c>
      <c r="L470" s="16">
        <v>1859.5199999999998</v>
      </c>
      <c r="M470" s="16">
        <v>7.956</v>
      </c>
      <c r="N470" s="16">
        <v>6.0</v>
      </c>
      <c r="O470" s="16">
        <v>4.0</v>
      </c>
      <c r="P470" s="16">
        <v>4.0</v>
      </c>
      <c r="Q470" s="17" t="str">
        <f t="shared" si="1"/>
        <v>1</v>
      </c>
      <c r="R470" s="17" t="str">
        <f t="shared" si="2"/>
        <v>0.3388704319</v>
      </c>
      <c r="S470" s="17" t="str">
        <f t="shared" si="8"/>
        <v>0.6666666667</v>
      </c>
      <c r="T470" s="17" t="s">
        <v>30</v>
      </c>
      <c r="U470" s="17" t="s">
        <v>31</v>
      </c>
      <c r="V470" s="17" t="str">
        <f t="shared" si="413"/>
        <v>Partial discharge, Normal </v>
      </c>
      <c r="W470" s="17" t="str">
        <f t="shared" si="3"/>
        <v>1</v>
      </c>
      <c r="X470" s="17" t="str">
        <f t="shared" si="33"/>
        <v>0.3388704319</v>
      </c>
      <c r="Y470" s="17" t="str">
        <f t="shared" si="9"/>
        <v>0.6666666667</v>
      </c>
      <c r="Z470" s="17" t="s">
        <v>34</v>
      </c>
      <c r="AA470" s="17" t="s">
        <v>34</v>
      </c>
      <c r="AB470" s="17" t="s">
        <v>107</v>
      </c>
      <c r="AC470" s="17" t="str">
        <f t="shared" si="5"/>
        <v>0.3388704319</v>
      </c>
      <c r="AD470" s="18" t="str">
        <f t="shared" si="10"/>
        <v>1</v>
      </c>
      <c r="AE470" s="17" t="str">
        <f t="shared" si="6"/>
        <v>0.5027652086</v>
      </c>
      <c r="AF470" s="17" t="str">
        <f t="shared" si="11"/>
        <v>1.5</v>
      </c>
      <c r="AG470" s="17" t="s">
        <v>30</v>
      </c>
      <c r="AH470" s="17" t="str">
        <f t="shared" si="394"/>
        <v>Arching</v>
      </c>
      <c r="AI470" s="17" t="str">
        <f t="shared" si="16"/>
        <v>Arching</v>
      </c>
      <c r="AJ470" s="17" t="str">
        <f t="shared" si="235"/>
        <v>Thermal Decomposition,corona </v>
      </c>
    </row>
    <row r="471" ht="12.75" customHeight="1">
      <c r="A471" s="11">
        <v>470.0</v>
      </c>
      <c r="B471" s="21" t="s">
        <v>430</v>
      </c>
      <c r="C471" s="21" t="s">
        <v>186</v>
      </c>
      <c r="D471" s="21" t="s">
        <v>187</v>
      </c>
      <c r="E471" s="21" t="s">
        <v>122</v>
      </c>
      <c r="F471" s="21">
        <v>2006.0</v>
      </c>
      <c r="G471" s="17">
        <v>7.4</v>
      </c>
      <c r="H471" s="16">
        <v>14.948</v>
      </c>
      <c r="I471" s="16">
        <v>11728.482</v>
      </c>
      <c r="J471" s="16">
        <v>58559.9</v>
      </c>
      <c r="K471" s="16">
        <v>208.162</v>
      </c>
      <c r="L471" s="16">
        <v>2961.0360000000005</v>
      </c>
      <c r="M471" s="16">
        <v>12.358</v>
      </c>
      <c r="N471" s="16">
        <v>10.656</v>
      </c>
      <c r="O471" s="16">
        <v>9.0</v>
      </c>
      <c r="P471" s="16">
        <v>9.0</v>
      </c>
      <c r="Q471" s="17" t="str">
        <f t="shared" si="1"/>
        <v>1</v>
      </c>
      <c r="R471" s="17" t="str">
        <f t="shared" si="2"/>
        <v>0.8267326733</v>
      </c>
      <c r="S471" s="17" t="str">
        <f t="shared" si="8"/>
        <v>0.8445945946</v>
      </c>
      <c r="T471" s="17" t="s">
        <v>30</v>
      </c>
      <c r="U471" s="17" t="s">
        <v>31</v>
      </c>
      <c r="V471" s="17" t="str">
        <f t="shared" si="413"/>
        <v>Partial discharge, Normal </v>
      </c>
      <c r="W471" s="17" t="str">
        <f t="shared" si="3"/>
        <v>1</v>
      </c>
      <c r="X471" s="17" t="str">
        <f t="shared" si="33"/>
        <v>0.8267326733</v>
      </c>
      <c r="Y471" s="17" t="str">
        <f t="shared" si="9"/>
        <v>0.8445945946</v>
      </c>
      <c r="Z471" s="17" t="s">
        <v>34</v>
      </c>
      <c r="AA471" s="17" t="s">
        <v>34</v>
      </c>
      <c r="AB471" s="17" t="s">
        <v>107</v>
      </c>
      <c r="AC471" s="17" t="str">
        <f t="shared" si="5"/>
        <v>0.8267326733</v>
      </c>
      <c r="AD471" s="18" t="str">
        <f t="shared" si="10"/>
        <v>1</v>
      </c>
      <c r="AE471" s="17" t="str">
        <f t="shared" si="6"/>
        <v>0.7282731834</v>
      </c>
      <c r="AF471" s="17" t="str">
        <f t="shared" si="11"/>
        <v>1.184</v>
      </c>
      <c r="AG471" s="17" t="s">
        <v>30</v>
      </c>
      <c r="AH471" s="17" t="str">
        <f t="shared" si="394"/>
        <v>Arching</v>
      </c>
      <c r="AI471" s="17" t="str">
        <f t="shared" si="16"/>
        <v>Arching</v>
      </c>
      <c r="AJ471" s="17" t="str">
        <f t="shared" si="235"/>
        <v>Thermal Decomposition,corona </v>
      </c>
    </row>
    <row r="472" ht="12.75" customHeight="1">
      <c r="A472" s="11">
        <v>471.0</v>
      </c>
      <c r="B472" s="21" t="s">
        <v>189</v>
      </c>
      <c r="C472" s="21" t="s">
        <v>186</v>
      </c>
      <c r="D472" s="21" t="s">
        <v>187</v>
      </c>
      <c r="E472" s="21" t="s">
        <v>122</v>
      </c>
      <c r="F472" s="21" t="s">
        <v>155</v>
      </c>
      <c r="G472" s="17">
        <v>7.0</v>
      </c>
      <c r="H472" s="16">
        <v>16.169999999999998</v>
      </c>
      <c r="I472" s="16">
        <v>13626.829999999998</v>
      </c>
      <c r="J472" s="16">
        <v>51423.33</v>
      </c>
      <c r="K472" s="16">
        <v>132.29999999999998</v>
      </c>
      <c r="L472" s="16">
        <v>1333.3600000000001</v>
      </c>
      <c r="M472" s="16">
        <v>565.25</v>
      </c>
      <c r="N472" s="16">
        <v>736.96</v>
      </c>
      <c r="O472" s="16">
        <v>1448.02</v>
      </c>
      <c r="P472" s="16">
        <v>9.0</v>
      </c>
      <c r="Q472" s="17" t="str">
        <f t="shared" si="1"/>
        <v>0.006215383765</v>
      </c>
      <c r="R472" s="17" t="str">
        <f t="shared" si="2"/>
        <v>34.95670996</v>
      </c>
      <c r="S472" s="17" t="str">
        <f t="shared" si="8"/>
        <v>1.964855623</v>
      </c>
      <c r="T472" s="17" t="str">
        <f>IF(Q472&lt;1,"Partial discharge,Low Temprature thermal fault,")</f>
        <v>Partial discharge,Low Temprature thermal fault,</v>
      </c>
      <c r="U472" s="17" t="str">
        <f>IF(R472&gt;1,"Thermal Fault &lt;700c, thermal fault &gt;700c ")</f>
        <v>Thermal Fault &lt;700c, thermal fault &gt;700c </v>
      </c>
      <c r="V472" s="17" t="s">
        <v>37</v>
      </c>
      <c r="W472" s="17" t="str">
        <f t="shared" si="3"/>
        <v>0.006215383765</v>
      </c>
      <c r="X472" s="17" t="str">
        <f t="shared" si="33"/>
        <v>34.95670996</v>
      </c>
      <c r="Y472" s="17" t="str">
        <f t="shared" si="9"/>
        <v>1.964855623</v>
      </c>
      <c r="Z472" s="17" t="str">
        <f>IF(W472&gt;1,"Discharge of Low Energy,  ",IF(W472&lt;0.1,"Thermal  Fault&gt; 300c and&lt;700 c"))</f>
        <v>Thermal  Fault&gt; 300c and&lt;700 c</v>
      </c>
      <c r="AA472" s="17" t="str">
        <f>IF(X472&lt;0.1,"Partial Discharges, ",IF(X472&gt;1,"Thermal  Fault &gt;300c and&lt;700 and &gt;700 c"))</f>
        <v>Thermal  Fault &gt;300c and&lt;700 and &gt;700 c</v>
      </c>
      <c r="AB472" s="17" t="str">
        <f t="shared" ref="AB472:AB475" si="414">IF(Y472&lt;0.2,"Partial Discharges, ",IF(Y472&gt;1,"Thermal  Fault  &gt;700 c"))</f>
        <v>Thermal  Fault  &gt;700 c</v>
      </c>
      <c r="AC472" s="17" t="str">
        <f t="shared" si="5"/>
        <v>34.95670996</v>
      </c>
      <c r="AD472" s="18" t="str">
        <f t="shared" si="10"/>
        <v>0.006215383765</v>
      </c>
      <c r="AE472" s="17" t="str">
        <f t="shared" si="6"/>
        <v>0.01592215834</v>
      </c>
      <c r="AF472" s="17" t="str">
        <f t="shared" si="11"/>
        <v>81.88444444</v>
      </c>
      <c r="AG472" s="17" t="str">
        <f>IF(AC472&gt;1,"Thermal Decomposition, ",IF(AC472&lt;0.1,"Corona,Arching"))</f>
        <v>Thermal Decomposition, </v>
      </c>
      <c r="AH472" s="17" t="str">
        <f t="shared" si="394"/>
        <v>Thermal Decomposition, </v>
      </c>
      <c r="AI472" s="17" t="str">
        <f t="shared" si="16"/>
        <v>Thermal Decomposition,corona </v>
      </c>
      <c r="AJ472" s="17" t="str">
        <f t="shared" si="235"/>
        <v>Thermal Decomposition,corona </v>
      </c>
    </row>
    <row r="473" ht="12.75" customHeight="1">
      <c r="A473" s="11">
        <v>472.0</v>
      </c>
      <c r="B473" s="21" t="s">
        <v>192</v>
      </c>
      <c r="C473" s="21" t="s">
        <v>186</v>
      </c>
      <c r="D473" s="21" t="s">
        <v>187</v>
      </c>
      <c r="E473" s="21" t="s">
        <v>122</v>
      </c>
      <c r="F473" s="21" t="s">
        <v>155</v>
      </c>
      <c r="G473" s="17">
        <v>7.9</v>
      </c>
      <c r="H473" s="16">
        <v>11.06</v>
      </c>
      <c r="I473" s="16">
        <v>13759.904</v>
      </c>
      <c r="J473" s="16">
        <v>62205.153000000006</v>
      </c>
      <c r="K473" s="16">
        <v>162.424</v>
      </c>
      <c r="L473" s="16">
        <v>1671.877</v>
      </c>
      <c r="M473" s="16">
        <v>8.690000000000001</v>
      </c>
      <c r="N473" s="16">
        <v>7.663</v>
      </c>
      <c r="O473" s="16">
        <v>9.0</v>
      </c>
      <c r="P473" s="16">
        <v>9.0</v>
      </c>
      <c r="Q473" s="17" t="str">
        <f t="shared" si="1"/>
        <v>1</v>
      </c>
      <c r="R473" s="17" t="str">
        <f t="shared" si="2"/>
        <v>0.7857142857</v>
      </c>
      <c r="S473" s="17" t="str">
        <f t="shared" si="8"/>
        <v>1.174474749</v>
      </c>
      <c r="T473" s="17" t="s">
        <v>30</v>
      </c>
      <c r="U473" s="17" t="s">
        <v>31</v>
      </c>
      <c r="V473" s="17" t="s">
        <v>37</v>
      </c>
      <c r="W473" s="17" t="str">
        <f t="shared" si="3"/>
        <v>1</v>
      </c>
      <c r="X473" s="17" t="str">
        <f t="shared" si="33"/>
        <v>0.7857142857</v>
      </c>
      <c r="Y473" s="17" t="str">
        <f t="shared" si="9"/>
        <v>1.174474749</v>
      </c>
      <c r="Z473" s="17" t="s">
        <v>34</v>
      </c>
      <c r="AA473" s="17" t="s">
        <v>34</v>
      </c>
      <c r="AB473" s="17" t="str">
        <f t="shared" si="414"/>
        <v>Thermal  Fault  &gt;700 c</v>
      </c>
      <c r="AC473" s="17" t="str">
        <f t="shared" si="5"/>
        <v>0.7857142857</v>
      </c>
      <c r="AD473" s="18" t="str">
        <f t="shared" si="10"/>
        <v>1</v>
      </c>
      <c r="AE473" s="17" t="str">
        <f t="shared" si="6"/>
        <v>1.035673188</v>
      </c>
      <c r="AF473" s="17" t="str">
        <f t="shared" si="11"/>
        <v>0.8514444444</v>
      </c>
      <c r="AG473" s="17" t="s">
        <v>30</v>
      </c>
      <c r="AH473" s="17" t="str">
        <f t="shared" si="394"/>
        <v>Arching</v>
      </c>
      <c r="AI473" s="17" t="str">
        <f t="shared" si="16"/>
        <v>Arching</v>
      </c>
      <c r="AJ473" s="17" t="str">
        <f t="shared" si="235"/>
        <v>Thermal Decomposition,corona </v>
      </c>
    </row>
    <row r="474" ht="12.75" customHeight="1">
      <c r="A474" s="11">
        <v>473.0</v>
      </c>
      <c r="B474" s="21">
        <v>2015969.0</v>
      </c>
      <c r="C474" s="21" t="s">
        <v>78</v>
      </c>
      <c r="D474" s="21" t="s">
        <v>184</v>
      </c>
      <c r="E474" s="21" t="s">
        <v>91</v>
      </c>
      <c r="F474" s="21" t="s">
        <v>431</v>
      </c>
      <c r="G474" s="17">
        <v>7.6</v>
      </c>
      <c r="H474" s="16">
        <v>8.36</v>
      </c>
      <c r="I474" s="16">
        <v>14002.619999999999</v>
      </c>
      <c r="J474" s="16">
        <v>59336.848</v>
      </c>
      <c r="K474" s="16">
        <v>204.21199999999996</v>
      </c>
      <c r="L474" s="16">
        <v>1917.48</v>
      </c>
      <c r="M474" s="16">
        <v>10.943999999999999</v>
      </c>
      <c r="N474" s="16">
        <v>5.4719999999999995</v>
      </c>
      <c r="O474" s="16">
        <v>8.0</v>
      </c>
      <c r="P474" s="16">
        <v>6.0</v>
      </c>
      <c r="Q474" s="17" t="str">
        <f t="shared" si="1"/>
        <v>0.75</v>
      </c>
      <c r="R474" s="17" t="str">
        <f t="shared" si="2"/>
        <v>1.309090909</v>
      </c>
      <c r="S474" s="17" t="str">
        <f t="shared" si="8"/>
        <v>1.461988304</v>
      </c>
      <c r="T474" s="17" t="str">
        <f>IF(Q474&lt;1,"Partial discharge,Low Temprature thermal fault,")</f>
        <v>Partial discharge,Low Temprature thermal fault,</v>
      </c>
      <c r="U474" s="17" t="str">
        <f>IF(R474&gt;1,"Thermal Fault &lt;700c, thermal fault &gt;700c ")</f>
        <v>Thermal Fault &lt;700c, thermal fault &gt;700c </v>
      </c>
      <c r="V474" s="17" t="s">
        <v>37</v>
      </c>
      <c r="W474" s="17" t="str">
        <f t="shared" si="3"/>
        <v>0.75</v>
      </c>
      <c r="X474" s="17" t="str">
        <f t="shared" si="33"/>
        <v>1.309090909</v>
      </c>
      <c r="Y474" s="17" t="str">
        <f t="shared" si="9"/>
        <v>1.461988304</v>
      </c>
      <c r="Z474" s="17" t="s">
        <v>34</v>
      </c>
      <c r="AA474" s="17" t="str">
        <f>IF(X474&lt;0.1,"Partial Discharges, ",IF(X474&gt;1,"Thermal  Fault &gt;300c and&lt;700 and &gt;700 c"))</f>
        <v>Thermal  Fault &gt;300c and&lt;700 and &gt;700 c</v>
      </c>
      <c r="AB474" s="17" t="str">
        <f t="shared" si="414"/>
        <v>Thermal  Fault  &gt;700 c</v>
      </c>
      <c r="AC474" s="17" t="str">
        <f t="shared" si="5"/>
        <v>1.309090909</v>
      </c>
      <c r="AD474" s="18" t="str">
        <f t="shared" si="10"/>
        <v>0.75</v>
      </c>
      <c r="AE474" s="17" t="str">
        <f t="shared" si="6"/>
        <v>0.548245614</v>
      </c>
      <c r="AF474" s="17" t="str">
        <f t="shared" si="11"/>
        <v>0.912</v>
      </c>
      <c r="AG474" s="17" t="str">
        <f>IF(AC474&gt;1,"Thermal Decomposition, ",IF(AC474&lt;0.1,"Corona,Arching"))</f>
        <v>Thermal Decomposition, </v>
      </c>
      <c r="AH474" s="17" t="s">
        <v>30</v>
      </c>
      <c r="AI474" s="17" t="str">
        <f t="shared" si="16"/>
        <v>Arching</v>
      </c>
      <c r="AJ474" s="17" t="str">
        <f t="shared" si="235"/>
        <v>Thermal Decomposition,corona </v>
      </c>
    </row>
    <row r="475" ht="12.75" customHeight="1">
      <c r="A475" s="11">
        <v>474.0</v>
      </c>
      <c r="B475" s="21">
        <v>2015970.0</v>
      </c>
      <c r="C475" s="21" t="s">
        <v>78</v>
      </c>
      <c r="D475" s="21" t="s">
        <v>184</v>
      </c>
      <c r="E475" s="21" t="s">
        <v>91</v>
      </c>
      <c r="F475" s="21" t="s">
        <v>431</v>
      </c>
      <c r="G475" s="17">
        <v>8.0</v>
      </c>
      <c r="H475" s="16">
        <v>96.08</v>
      </c>
      <c r="I475" s="16">
        <v>12754.24</v>
      </c>
      <c r="J475" s="16">
        <v>64650.24</v>
      </c>
      <c r="K475" s="16">
        <v>132.16000000000003</v>
      </c>
      <c r="L475" s="16">
        <v>1368.32</v>
      </c>
      <c r="M475" s="16">
        <v>53.44</v>
      </c>
      <c r="N475" s="16">
        <v>2.56</v>
      </c>
      <c r="O475" s="16">
        <v>8.0</v>
      </c>
      <c r="P475" s="15">
        <v>8.0</v>
      </c>
      <c r="Q475" s="17" t="str">
        <f t="shared" si="1"/>
        <v>1</v>
      </c>
      <c r="R475" s="17" t="str">
        <f t="shared" si="2"/>
        <v>0.556203164</v>
      </c>
      <c r="S475" s="17" t="str">
        <f t="shared" si="8"/>
        <v>3.125</v>
      </c>
      <c r="T475" s="17" t="s">
        <v>30</v>
      </c>
      <c r="U475" s="17" t="s">
        <v>31</v>
      </c>
      <c r="V475" s="17" t="str">
        <f t="shared" ref="V475:V476" si="415">IF(S475&lt;1,"Partial discharge, Normal ",IF(S475&gt;3,"Arching,Thermal  Fault &gt; 700 c"))</f>
        <v>Arching,Thermal  Fault &gt; 700 c</v>
      </c>
      <c r="W475" s="17" t="str">
        <f t="shared" si="3"/>
        <v>1</v>
      </c>
      <c r="X475" s="17" t="str">
        <f t="shared" si="33"/>
        <v>0.556203164</v>
      </c>
      <c r="Y475" s="17" t="str">
        <f t="shared" si="9"/>
        <v>3.125</v>
      </c>
      <c r="Z475" s="17" t="s">
        <v>34</v>
      </c>
      <c r="AA475" s="17" t="s">
        <v>34</v>
      </c>
      <c r="AB475" s="17" t="str">
        <f t="shared" si="414"/>
        <v>Thermal  Fault  &gt;700 c</v>
      </c>
      <c r="AC475" s="17" t="str">
        <f t="shared" si="5"/>
        <v>0.556203164</v>
      </c>
      <c r="AD475" s="18" t="str">
        <f t="shared" si="10"/>
        <v>1</v>
      </c>
      <c r="AE475" s="17" t="str">
        <f t="shared" si="6"/>
        <v>0.1497005988</v>
      </c>
      <c r="AF475" s="17" t="str">
        <f t="shared" si="11"/>
        <v>0.32</v>
      </c>
      <c r="AG475" s="17" t="s">
        <v>30</v>
      </c>
      <c r="AH475" s="17" t="str">
        <f t="shared" ref="AH475:AH512" si="416">IF(AD475&lt;0.75,"Thermal Decomposition, ",IF(AD475&gt;0.75,"Arching"))</f>
        <v>Arching</v>
      </c>
      <c r="AI475" s="17" t="str">
        <f t="shared" si="16"/>
        <v>Thermal Decomposition,corona </v>
      </c>
      <c r="AJ475" s="17" t="str">
        <f t="shared" si="235"/>
        <v>Arching</v>
      </c>
    </row>
    <row r="476" ht="12.75" customHeight="1">
      <c r="A476" s="11">
        <v>475.0</v>
      </c>
      <c r="B476" s="21" t="s">
        <v>132</v>
      </c>
      <c r="C476" s="21" t="s">
        <v>133</v>
      </c>
      <c r="D476" s="21" t="s">
        <v>134</v>
      </c>
      <c r="E476" s="21" t="s">
        <v>93</v>
      </c>
      <c r="F476" s="21">
        <v>2009.0</v>
      </c>
      <c r="G476" s="17">
        <v>7.1</v>
      </c>
      <c r="H476" s="16">
        <v>10.791999999999998</v>
      </c>
      <c r="I476" s="16">
        <v>12854.408000000001</v>
      </c>
      <c r="J476" s="16">
        <v>55862.871</v>
      </c>
      <c r="K476" s="16">
        <v>159.537</v>
      </c>
      <c r="L476" s="16">
        <v>1703.0059999999999</v>
      </c>
      <c r="M476" s="16">
        <v>9.514</v>
      </c>
      <c r="N476" s="16">
        <v>9.0</v>
      </c>
      <c r="O476" s="16">
        <v>6.0</v>
      </c>
      <c r="P476" s="15">
        <v>9.0</v>
      </c>
      <c r="Q476" s="17" t="str">
        <f t="shared" si="1"/>
        <v>1.5</v>
      </c>
      <c r="R476" s="17" t="str">
        <f t="shared" si="2"/>
        <v>0.8815789474</v>
      </c>
      <c r="S476" s="17" t="str">
        <f t="shared" si="8"/>
        <v>0.6666666667</v>
      </c>
      <c r="T476" s="17" t="s">
        <v>30</v>
      </c>
      <c r="U476" s="17" t="s">
        <v>31</v>
      </c>
      <c r="V476" s="17" t="str">
        <f t="shared" si="415"/>
        <v>Partial discharge, Normal </v>
      </c>
      <c r="W476" s="17" t="str">
        <f t="shared" si="3"/>
        <v>1.5</v>
      </c>
      <c r="X476" s="17" t="str">
        <f t="shared" si="33"/>
        <v>0.8815789474</v>
      </c>
      <c r="Y476" s="17" t="str">
        <f t="shared" si="9"/>
        <v>0.6666666667</v>
      </c>
      <c r="Z476" s="17" t="str">
        <f>IF(W476&gt;1,"Discharge of Low Energy,  ",IF(W476&lt;0.1,"Thermal  Fault&gt; 300c and&lt;700 c"))</f>
        <v>Discharge of Low Energy,  </v>
      </c>
      <c r="AA476" s="17" t="s">
        <v>34</v>
      </c>
      <c r="AB476" s="17" t="s">
        <v>107</v>
      </c>
      <c r="AC476" s="17" t="str">
        <f t="shared" si="5"/>
        <v>0.8815789474</v>
      </c>
      <c r="AD476" s="18" t="str">
        <f t="shared" si="10"/>
        <v>1.5</v>
      </c>
      <c r="AE476" s="17" t="str">
        <f t="shared" si="6"/>
        <v>0.9459743536</v>
      </c>
      <c r="AF476" s="17" t="str">
        <f t="shared" si="11"/>
        <v>1</v>
      </c>
      <c r="AG476" s="17" t="s">
        <v>30</v>
      </c>
      <c r="AH476" s="17" t="str">
        <f t="shared" si="416"/>
        <v>Arching</v>
      </c>
      <c r="AI476" s="17" t="str">
        <f t="shared" si="16"/>
        <v>Arching</v>
      </c>
      <c r="AJ476" s="17" t="str">
        <f t="shared" si="235"/>
        <v>Thermal Decomposition,corona </v>
      </c>
    </row>
    <row r="477" ht="12.75" customHeight="1">
      <c r="A477" s="11">
        <v>476.0</v>
      </c>
      <c r="B477" s="21" t="s">
        <v>432</v>
      </c>
      <c r="C477" s="21" t="s">
        <v>99</v>
      </c>
      <c r="D477" s="21" t="s">
        <v>233</v>
      </c>
      <c r="E477" s="21" t="s">
        <v>258</v>
      </c>
      <c r="F477" s="21">
        <v>2021.0</v>
      </c>
      <c r="G477" s="17">
        <v>7.3</v>
      </c>
      <c r="H477" s="16">
        <v>2.0</v>
      </c>
      <c r="I477" s="16">
        <v>8816.283</v>
      </c>
      <c r="J477" s="16">
        <v>62788.395000000004</v>
      </c>
      <c r="K477" s="16">
        <v>58.327</v>
      </c>
      <c r="L477" s="16">
        <v>381.279</v>
      </c>
      <c r="M477" s="16">
        <v>7.0</v>
      </c>
      <c r="N477" s="16">
        <v>6.0</v>
      </c>
      <c r="O477" s="16">
        <v>8.0</v>
      </c>
      <c r="P477" s="15">
        <v>8.0</v>
      </c>
      <c r="Q477" s="17" t="str">
        <f t="shared" si="1"/>
        <v>1</v>
      </c>
      <c r="R477" s="17" t="str">
        <f t="shared" si="2"/>
        <v>3.5</v>
      </c>
      <c r="S477" s="17" t="str">
        <f t="shared" si="8"/>
        <v>1.333333333</v>
      </c>
      <c r="T477" s="17" t="s">
        <v>30</v>
      </c>
      <c r="U477" s="17" t="str">
        <f t="shared" ref="U477:U480" si="417">IF(R477&gt;1,"Thermal Fault &lt;700c, thermal fault &gt;700c ")</f>
        <v>Thermal Fault &lt;700c, thermal fault &gt;700c </v>
      </c>
      <c r="V477" s="17" t="s">
        <v>37</v>
      </c>
      <c r="W477" s="17" t="str">
        <f t="shared" si="3"/>
        <v>1</v>
      </c>
      <c r="X477" s="17" t="str">
        <f t="shared" si="33"/>
        <v>3.5</v>
      </c>
      <c r="Y477" s="17" t="str">
        <f t="shared" si="9"/>
        <v>1.333333333</v>
      </c>
      <c r="Z477" s="17" t="s">
        <v>34</v>
      </c>
      <c r="AA477" s="17" t="str">
        <f t="shared" ref="AA477:AA485" si="418">IF(X477&lt;0.1,"Partial Discharges, ",IF(X477&gt;1,"Thermal  Fault &gt;300c and&lt;700 and &gt;700 c"))</f>
        <v>Thermal  Fault &gt;300c and&lt;700 and &gt;700 c</v>
      </c>
      <c r="AB477" s="17" t="str">
        <f t="shared" ref="AB477:AB478" si="419">IF(Y477&lt;0.2,"Partial Discharges, ",IF(Y477&gt;1,"Thermal  Fault  &gt;700 c"))</f>
        <v>Thermal  Fault  &gt;700 c</v>
      </c>
      <c r="AC477" s="17" t="str">
        <f t="shared" si="5"/>
        <v>3.5</v>
      </c>
      <c r="AD477" s="18" t="str">
        <f t="shared" si="10"/>
        <v>1</v>
      </c>
      <c r="AE477" s="17" t="str">
        <f t="shared" si="6"/>
        <v>1.142857143</v>
      </c>
      <c r="AF477" s="17" t="str">
        <f t="shared" si="11"/>
        <v>0.75</v>
      </c>
      <c r="AG477" s="17" t="str">
        <f t="shared" ref="AG477:AG485" si="420">IF(AC477&gt;1,"Thermal Decomposition, ",IF(AC477&lt;0.1,"Corona,Arching"))</f>
        <v>Thermal Decomposition, </v>
      </c>
      <c r="AH477" s="17" t="str">
        <f t="shared" si="416"/>
        <v>Arching</v>
      </c>
      <c r="AI477" s="17" t="str">
        <f t="shared" si="16"/>
        <v>Arching</v>
      </c>
      <c r="AJ477" s="17" t="str">
        <f t="shared" si="235"/>
        <v>Thermal Decomposition,corona </v>
      </c>
    </row>
    <row r="478" ht="12.75" customHeight="1">
      <c r="A478" s="11">
        <v>477.0</v>
      </c>
      <c r="B478" s="17">
        <v>66190.0</v>
      </c>
      <c r="C478" s="17" t="s">
        <v>84</v>
      </c>
      <c r="D478" s="17" t="s">
        <v>326</v>
      </c>
      <c r="E478" s="19" t="s">
        <v>433</v>
      </c>
      <c r="F478" s="17">
        <v>2010.0</v>
      </c>
      <c r="G478" s="17">
        <v>7.4</v>
      </c>
      <c r="H478" s="16">
        <v>3.0</v>
      </c>
      <c r="I478" s="16">
        <v>12914.702000000003</v>
      </c>
      <c r="J478" s="16">
        <v>59201.85</v>
      </c>
      <c r="K478" s="16">
        <v>105.96799999999999</v>
      </c>
      <c r="L478" s="16">
        <v>1207.7540000000001</v>
      </c>
      <c r="M478" s="16">
        <v>6.0</v>
      </c>
      <c r="N478" s="16">
        <v>7.0</v>
      </c>
      <c r="O478" s="16">
        <v>9.0</v>
      </c>
      <c r="P478" s="15">
        <v>9.0</v>
      </c>
      <c r="Q478" s="17" t="str">
        <f t="shared" si="1"/>
        <v>1</v>
      </c>
      <c r="R478" s="17" t="str">
        <f t="shared" si="2"/>
        <v>2</v>
      </c>
      <c r="S478" s="17" t="str">
        <f t="shared" si="8"/>
        <v>1.285714286</v>
      </c>
      <c r="T478" s="17" t="s">
        <v>30</v>
      </c>
      <c r="U478" s="17" t="str">
        <f t="shared" si="417"/>
        <v>Thermal Fault &lt;700c, thermal fault &gt;700c </v>
      </c>
      <c r="V478" s="17" t="s">
        <v>37</v>
      </c>
      <c r="W478" s="17" t="str">
        <f t="shared" si="3"/>
        <v>1</v>
      </c>
      <c r="X478" s="17" t="str">
        <f t="shared" si="33"/>
        <v>2</v>
      </c>
      <c r="Y478" s="17" t="str">
        <f t="shared" si="9"/>
        <v>1.285714286</v>
      </c>
      <c r="Z478" s="17" t="s">
        <v>34</v>
      </c>
      <c r="AA478" s="17" t="str">
        <f t="shared" si="418"/>
        <v>Thermal  Fault &gt;300c and&lt;700 and &gt;700 c</v>
      </c>
      <c r="AB478" s="17" t="str">
        <f t="shared" si="419"/>
        <v>Thermal  Fault  &gt;700 c</v>
      </c>
      <c r="AC478" s="17" t="str">
        <f t="shared" si="5"/>
        <v>2</v>
      </c>
      <c r="AD478" s="18" t="str">
        <f t="shared" si="10"/>
        <v>1</v>
      </c>
      <c r="AE478" s="17" t="str">
        <f t="shared" si="6"/>
        <v>1.5</v>
      </c>
      <c r="AF478" s="17" t="str">
        <f t="shared" si="11"/>
        <v>0.7777777778</v>
      </c>
      <c r="AG478" s="17" t="str">
        <f t="shared" si="420"/>
        <v>Thermal Decomposition, </v>
      </c>
      <c r="AH478" s="17" t="str">
        <f t="shared" si="416"/>
        <v>Arching</v>
      </c>
      <c r="AI478" s="17" t="str">
        <f t="shared" si="16"/>
        <v>Arching</v>
      </c>
      <c r="AJ478" s="17" t="str">
        <f t="shared" si="235"/>
        <v>Thermal Decomposition,corona </v>
      </c>
    </row>
    <row r="479" ht="12.75" customHeight="1">
      <c r="A479" s="11">
        <v>478.0</v>
      </c>
      <c r="B479" s="17">
        <v>66189.0</v>
      </c>
      <c r="C479" s="17" t="s">
        <v>84</v>
      </c>
      <c r="D479" s="17" t="s">
        <v>326</v>
      </c>
      <c r="E479" s="19" t="s">
        <v>433</v>
      </c>
      <c r="F479" s="17">
        <v>2010.0</v>
      </c>
      <c r="G479" s="17">
        <v>8.1</v>
      </c>
      <c r="H479" s="16">
        <v>4.536</v>
      </c>
      <c r="I479" s="16">
        <v>13652.145000000002</v>
      </c>
      <c r="J479" s="16">
        <v>64820.574</v>
      </c>
      <c r="K479" s="16">
        <v>141.102</v>
      </c>
      <c r="L479" s="16">
        <v>1581.2009999999998</v>
      </c>
      <c r="M479" s="16">
        <v>7.694999999999999</v>
      </c>
      <c r="N479" s="16">
        <v>9.0</v>
      </c>
      <c r="O479" s="16">
        <v>9.0</v>
      </c>
      <c r="P479" s="15">
        <v>22.386</v>
      </c>
      <c r="Q479" s="17" t="str">
        <f t="shared" si="1"/>
        <v>2.487333333</v>
      </c>
      <c r="R479" s="17" t="str">
        <f t="shared" si="2"/>
        <v>1.696428571</v>
      </c>
      <c r="S479" s="17" t="str">
        <f t="shared" si="8"/>
        <v>1</v>
      </c>
      <c r="T479" s="17" t="s">
        <v>30</v>
      </c>
      <c r="U479" s="17" t="str">
        <f t="shared" si="417"/>
        <v>Thermal Fault &lt;700c, thermal fault &gt;700c </v>
      </c>
      <c r="V479" s="17" t="s">
        <v>37</v>
      </c>
      <c r="W479" s="17" t="str">
        <f t="shared" si="3"/>
        <v>2.487333333</v>
      </c>
      <c r="X479" s="17" t="str">
        <f t="shared" si="33"/>
        <v>1.696428571</v>
      </c>
      <c r="Y479" s="17" t="str">
        <f t="shared" si="9"/>
        <v>1</v>
      </c>
      <c r="Z479" s="17" t="str">
        <f>IF(W479&gt;1,"Discharge of Low Energy,  ",IF(W479&lt;0.1,"Thermal  Fault&gt; 300c and&lt;700 c"))</f>
        <v>Discharge of Low Energy,  </v>
      </c>
      <c r="AA479" s="17" t="str">
        <f t="shared" si="418"/>
        <v>Thermal  Fault &gt;300c and&lt;700 and &gt;700 c</v>
      </c>
      <c r="AB479" s="17" t="s">
        <v>107</v>
      </c>
      <c r="AC479" s="17" t="str">
        <f t="shared" si="5"/>
        <v>1.696428571</v>
      </c>
      <c r="AD479" s="18" t="str">
        <f t="shared" si="10"/>
        <v>2.487333333</v>
      </c>
      <c r="AE479" s="17" t="str">
        <f t="shared" si="6"/>
        <v>2.909161793</v>
      </c>
      <c r="AF479" s="17" t="str">
        <f t="shared" si="11"/>
        <v>0.4020369874</v>
      </c>
      <c r="AG479" s="17" t="str">
        <f t="shared" si="420"/>
        <v>Thermal Decomposition, </v>
      </c>
      <c r="AH479" s="17" t="str">
        <f t="shared" si="416"/>
        <v>Arching</v>
      </c>
      <c r="AI479" s="17" t="str">
        <f t="shared" si="16"/>
        <v>Arching</v>
      </c>
      <c r="AJ479" s="17" t="str">
        <f t="shared" si="235"/>
        <v>Thermal Decomposition,corona </v>
      </c>
    </row>
    <row r="480" ht="12.75" customHeight="1">
      <c r="A480" s="11">
        <v>479.0</v>
      </c>
      <c r="B480" s="17" t="s">
        <v>244</v>
      </c>
      <c r="C480" s="17" t="s">
        <v>89</v>
      </c>
      <c r="D480" s="17" t="s">
        <v>206</v>
      </c>
      <c r="E480" s="19" t="s">
        <v>179</v>
      </c>
      <c r="F480" s="17">
        <v>2010.0</v>
      </c>
      <c r="G480" s="17">
        <v>7.2</v>
      </c>
      <c r="H480" s="16">
        <v>9.000000000000002</v>
      </c>
      <c r="I480" s="16">
        <v>12559.320000000002</v>
      </c>
      <c r="J480" s="16">
        <v>56803.32000000001</v>
      </c>
      <c r="K480" s="16">
        <v>139.824</v>
      </c>
      <c r="L480" s="16">
        <v>1514.376</v>
      </c>
      <c r="M480" s="16">
        <v>59.616</v>
      </c>
      <c r="N480" s="16">
        <v>27.936</v>
      </c>
      <c r="O480" s="16">
        <v>52.12800000000001</v>
      </c>
      <c r="P480" s="15">
        <v>27.473000000000003</v>
      </c>
      <c r="Q480" s="17" t="str">
        <f t="shared" si="1"/>
        <v>0.5270296194</v>
      </c>
      <c r="R480" s="17" t="str">
        <f t="shared" si="2"/>
        <v>6.624</v>
      </c>
      <c r="S480" s="17" t="str">
        <f t="shared" si="8"/>
        <v>1.865979381</v>
      </c>
      <c r="T480" s="17" t="str">
        <f t="shared" ref="T480:T482" si="421">IF(Q480&lt;1,"Partial discharge,Low Temprature thermal fault,")</f>
        <v>Partial discharge,Low Temprature thermal fault,</v>
      </c>
      <c r="U480" s="17" t="str">
        <f t="shared" si="417"/>
        <v>Thermal Fault &lt;700c, thermal fault &gt;700c </v>
      </c>
      <c r="V480" s="17" t="s">
        <v>37</v>
      </c>
      <c r="W480" s="17" t="str">
        <f t="shared" si="3"/>
        <v>0.5270296194</v>
      </c>
      <c r="X480" s="17" t="str">
        <f t="shared" si="33"/>
        <v>6.624</v>
      </c>
      <c r="Y480" s="17" t="str">
        <f t="shared" si="9"/>
        <v>1.865979381</v>
      </c>
      <c r="Z480" s="17" t="s">
        <v>34</v>
      </c>
      <c r="AA480" s="17" t="str">
        <f t="shared" si="418"/>
        <v>Thermal  Fault &gt;300c and&lt;700 and &gt;700 c</v>
      </c>
      <c r="AB480" s="17" t="str">
        <f>IF(Y480&lt;0.2,"Partial Discharges, ",IF(Y480&gt;1,"Thermal  Fault  &gt;700 c"))</f>
        <v>Thermal  Fault  &gt;700 c</v>
      </c>
      <c r="AC480" s="17" t="str">
        <f t="shared" si="5"/>
        <v>6.624</v>
      </c>
      <c r="AD480" s="18" t="str">
        <f t="shared" si="10"/>
        <v>0.5270296194</v>
      </c>
      <c r="AE480" s="17" t="str">
        <f t="shared" si="6"/>
        <v>0.4608326624</v>
      </c>
      <c r="AF480" s="17" t="str">
        <f t="shared" si="11"/>
        <v>1.01685291</v>
      </c>
      <c r="AG480" s="17" t="str">
        <f t="shared" si="420"/>
        <v>Thermal Decomposition, </v>
      </c>
      <c r="AH480" s="17" t="str">
        <f t="shared" si="416"/>
        <v>Thermal Decomposition, </v>
      </c>
      <c r="AI480" s="17" t="str">
        <f t="shared" si="16"/>
        <v>Arching</v>
      </c>
      <c r="AJ480" s="17" t="str">
        <f t="shared" si="235"/>
        <v>Thermal Decomposition,corona </v>
      </c>
    </row>
    <row r="481" ht="12.75" customHeight="1">
      <c r="A481" s="11">
        <v>480.0</v>
      </c>
      <c r="B481" s="17" t="s">
        <v>434</v>
      </c>
      <c r="C481" s="17" t="s">
        <v>89</v>
      </c>
      <c r="D481" s="17" t="s">
        <v>206</v>
      </c>
      <c r="E481" s="19" t="s">
        <v>130</v>
      </c>
      <c r="F481" s="17">
        <v>2010.0</v>
      </c>
      <c r="G481" s="17">
        <v>7.5</v>
      </c>
      <c r="H481" s="16">
        <v>0.8999999999999999</v>
      </c>
      <c r="I481" s="16">
        <v>14275.875000000002</v>
      </c>
      <c r="J481" s="16">
        <v>58915.049999999996</v>
      </c>
      <c r="K481" s="16">
        <v>92.175</v>
      </c>
      <c r="L481" s="16">
        <v>891.6750000000001</v>
      </c>
      <c r="M481" s="16">
        <v>8.0</v>
      </c>
      <c r="N481" s="16">
        <v>9.0</v>
      </c>
      <c r="O481" s="16">
        <v>9.0</v>
      </c>
      <c r="P481" s="16">
        <v>4.0</v>
      </c>
      <c r="Q481" s="17" t="str">
        <f t="shared" si="1"/>
        <v>0.4444444444</v>
      </c>
      <c r="R481" s="17" t="str">
        <f t="shared" si="2"/>
        <v>8.888888889</v>
      </c>
      <c r="S481" s="17" t="str">
        <f t="shared" si="8"/>
        <v>1</v>
      </c>
      <c r="T481" s="17" t="str">
        <f t="shared" si="421"/>
        <v>Partial discharge,Low Temprature thermal fault,</v>
      </c>
      <c r="U481" s="17" t="str">
        <f>IF(R481&lt;0.1, "Partial discharge", "Low temperature thermal ")</f>
        <v>Low temperature thermal </v>
      </c>
      <c r="V481" s="17" t="s">
        <v>37</v>
      </c>
      <c r="W481" s="17" t="str">
        <f t="shared" si="3"/>
        <v>0.4444444444</v>
      </c>
      <c r="X481" s="17" t="str">
        <f t="shared" si="33"/>
        <v>8.888888889</v>
      </c>
      <c r="Y481" s="17" t="str">
        <f t="shared" si="9"/>
        <v>1</v>
      </c>
      <c r="Z481" s="17" t="s">
        <v>34</v>
      </c>
      <c r="AA481" s="17" t="str">
        <f t="shared" si="418"/>
        <v>Thermal  Fault &gt;300c and&lt;700 and &gt;700 c</v>
      </c>
      <c r="AB481" s="17" t="s">
        <v>107</v>
      </c>
      <c r="AC481" s="17" t="str">
        <f t="shared" si="5"/>
        <v>8.888888889</v>
      </c>
      <c r="AD481" s="18" t="str">
        <f t="shared" si="10"/>
        <v>0.4444444444</v>
      </c>
      <c r="AE481" s="17" t="str">
        <f t="shared" si="6"/>
        <v>0.5</v>
      </c>
      <c r="AF481" s="17" t="str">
        <f t="shared" si="11"/>
        <v>2.25</v>
      </c>
      <c r="AG481" s="17" t="str">
        <f t="shared" si="420"/>
        <v>Thermal Decomposition, </v>
      </c>
      <c r="AH481" s="17" t="str">
        <f t="shared" si="416"/>
        <v>Thermal Decomposition, </v>
      </c>
      <c r="AI481" s="17" t="str">
        <f t="shared" si="16"/>
        <v>Arching</v>
      </c>
      <c r="AJ481" s="17" t="str">
        <f t="shared" si="235"/>
        <v>Thermal Decomposition,corona </v>
      </c>
    </row>
    <row r="482" ht="12.75" customHeight="1">
      <c r="A482" s="11">
        <v>481.0</v>
      </c>
      <c r="B482" s="21" t="s">
        <v>435</v>
      </c>
      <c r="C482" s="21" t="s">
        <v>27</v>
      </c>
      <c r="D482" s="21" t="s">
        <v>323</v>
      </c>
      <c r="E482" s="21" t="s">
        <v>324</v>
      </c>
      <c r="F482" s="21">
        <v>2015.0</v>
      </c>
      <c r="G482" s="17">
        <v>2.9</v>
      </c>
      <c r="H482" s="16">
        <v>6.0</v>
      </c>
      <c r="I482" s="16">
        <v>2909.8309999999997</v>
      </c>
      <c r="J482" s="16">
        <v>25198.216</v>
      </c>
      <c r="K482" s="16">
        <v>53.30199999999999</v>
      </c>
      <c r="L482" s="16">
        <v>598.4440000000001</v>
      </c>
      <c r="M482" s="16">
        <v>7.0</v>
      </c>
      <c r="N482" s="16">
        <v>8.0</v>
      </c>
      <c r="O482" s="16">
        <v>6.0</v>
      </c>
      <c r="P482" s="16">
        <v>3.0</v>
      </c>
      <c r="Q482" s="17" t="str">
        <f t="shared" si="1"/>
        <v>0.5</v>
      </c>
      <c r="R482" s="17" t="str">
        <f t="shared" si="2"/>
        <v>1.166666667</v>
      </c>
      <c r="S482" s="17" t="str">
        <f t="shared" si="8"/>
        <v>0.75</v>
      </c>
      <c r="T482" s="17" t="str">
        <f t="shared" si="421"/>
        <v>Partial discharge,Low Temprature thermal fault,</v>
      </c>
      <c r="U482" s="17" t="s">
        <v>30</v>
      </c>
      <c r="V482" s="17" t="str">
        <f t="shared" ref="V482:V483" si="422">IF(S482&lt;1,"Partial discharge, Normal ",IF(S482&gt;3,"Arching,Thermal  Fault &gt; 700 c"))</f>
        <v>Partial discharge, Normal </v>
      </c>
      <c r="W482" s="17" t="str">
        <f t="shared" si="3"/>
        <v>0.5</v>
      </c>
      <c r="X482" s="17" t="str">
        <f t="shared" si="33"/>
        <v>1.166666667</v>
      </c>
      <c r="Y482" s="17" t="str">
        <f t="shared" si="9"/>
        <v>0.75</v>
      </c>
      <c r="Z482" s="17" t="s">
        <v>34</v>
      </c>
      <c r="AA482" s="17" t="str">
        <f t="shared" si="418"/>
        <v>Thermal  Fault &gt;300c and&lt;700 and &gt;700 c</v>
      </c>
      <c r="AB482" s="17" t="s">
        <v>107</v>
      </c>
      <c r="AC482" s="17" t="str">
        <f t="shared" si="5"/>
        <v>1.166666667</v>
      </c>
      <c r="AD482" s="18" t="str">
        <f t="shared" si="10"/>
        <v>0.5</v>
      </c>
      <c r="AE482" s="17" t="str">
        <f t="shared" si="6"/>
        <v>0.4285714286</v>
      </c>
      <c r="AF482" s="17" t="str">
        <f t="shared" si="11"/>
        <v>2.666666667</v>
      </c>
      <c r="AG482" s="17" t="str">
        <f t="shared" si="420"/>
        <v>Thermal Decomposition, </v>
      </c>
      <c r="AH482" s="17" t="str">
        <f t="shared" si="416"/>
        <v>Thermal Decomposition, </v>
      </c>
      <c r="AI482" s="17" t="str">
        <f t="shared" si="16"/>
        <v>Arching</v>
      </c>
      <c r="AJ482" s="17" t="str">
        <f t="shared" si="235"/>
        <v>Thermal Decomposition,corona </v>
      </c>
    </row>
    <row r="483" ht="12.75" customHeight="1">
      <c r="A483" s="11">
        <v>482.0</v>
      </c>
      <c r="B483" s="21" t="s">
        <v>436</v>
      </c>
      <c r="C483" s="21" t="s">
        <v>27</v>
      </c>
      <c r="D483" s="21" t="s">
        <v>323</v>
      </c>
      <c r="E483" s="21" t="s">
        <v>324</v>
      </c>
      <c r="F483" s="21">
        <v>2015.0</v>
      </c>
      <c r="G483" s="17">
        <v>3.0</v>
      </c>
      <c r="H483" s="16">
        <v>8.0</v>
      </c>
      <c r="I483" s="16">
        <v>4384.95</v>
      </c>
      <c r="J483" s="16">
        <v>24794.16</v>
      </c>
      <c r="K483" s="16">
        <v>45.120000000000005</v>
      </c>
      <c r="L483" s="16">
        <v>508.23</v>
      </c>
      <c r="M483" s="16">
        <v>9.0</v>
      </c>
      <c r="N483" s="16">
        <v>7.0</v>
      </c>
      <c r="O483" s="16">
        <v>5.0</v>
      </c>
      <c r="P483" s="16">
        <v>7.0</v>
      </c>
      <c r="Q483" s="17" t="str">
        <f t="shared" si="1"/>
        <v>1.4</v>
      </c>
      <c r="R483" s="17" t="str">
        <f t="shared" si="2"/>
        <v>1.125</v>
      </c>
      <c r="S483" s="17" t="str">
        <f t="shared" si="8"/>
        <v>0.7142857143</v>
      </c>
      <c r="T483" s="17" t="s">
        <v>30</v>
      </c>
      <c r="U483" s="17" t="s">
        <v>30</v>
      </c>
      <c r="V483" s="17" t="str">
        <f t="shared" si="422"/>
        <v>Partial discharge, Normal </v>
      </c>
      <c r="W483" s="17" t="str">
        <f t="shared" si="3"/>
        <v>1.4</v>
      </c>
      <c r="X483" s="17" t="str">
        <f t="shared" si="33"/>
        <v>1.125</v>
      </c>
      <c r="Y483" s="17" t="str">
        <f t="shared" si="9"/>
        <v>0.7142857143</v>
      </c>
      <c r="Z483" s="17" t="str">
        <f t="shared" ref="Z483:Z484" si="423">IF(W483&gt;1,"Discharge of Low Energy,  ",IF(W483&lt;0.1,"Thermal  Fault&gt; 300c and&lt;700 c"))</f>
        <v>Discharge of Low Energy,  </v>
      </c>
      <c r="AA483" s="17" t="str">
        <f t="shared" si="418"/>
        <v>Thermal  Fault &gt;300c and&lt;700 and &gt;700 c</v>
      </c>
      <c r="AB483" s="17" t="s">
        <v>107</v>
      </c>
      <c r="AC483" s="17" t="str">
        <f t="shared" si="5"/>
        <v>1.125</v>
      </c>
      <c r="AD483" s="18" t="str">
        <f t="shared" si="10"/>
        <v>1.4</v>
      </c>
      <c r="AE483" s="17" t="str">
        <f t="shared" si="6"/>
        <v>0.7777777778</v>
      </c>
      <c r="AF483" s="17" t="str">
        <f t="shared" si="11"/>
        <v>1</v>
      </c>
      <c r="AG483" s="17" t="str">
        <f t="shared" si="420"/>
        <v>Thermal Decomposition, </v>
      </c>
      <c r="AH483" s="17" t="str">
        <f t="shared" si="416"/>
        <v>Arching</v>
      </c>
      <c r="AI483" s="17" t="str">
        <f t="shared" si="16"/>
        <v>Arching</v>
      </c>
      <c r="AJ483" s="17" t="str">
        <f t="shared" si="235"/>
        <v>Thermal Decomposition,corona </v>
      </c>
    </row>
    <row r="484" ht="12.75" customHeight="1">
      <c r="A484" s="11">
        <v>483.0</v>
      </c>
      <c r="B484" s="21" t="s">
        <v>437</v>
      </c>
      <c r="C484" s="21" t="s">
        <v>438</v>
      </c>
      <c r="D484" s="21" t="s">
        <v>439</v>
      </c>
      <c r="E484" s="21" t="s">
        <v>440</v>
      </c>
      <c r="F484" s="21">
        <v>1990.0</v>
      </c>
      <c r="G484" s="17">
        <v>6.8</v>
      </c>
      <c r="H484" s="16">
        <v>6.732</v>
      </c>
      <c r="I484" s="16">
        <v>11497.916</v>
      </c>
      <c r="J484" s="16">
        <v>54701.376000000004</v>
      </c>
      <c r="K484" s="16">
        <v>114.17199999999998</v>
      </c>
      <c r="L484" s="16">
        <v>1278.196</v>
      </c>
      <c r="M484" s="16">
        <v>7.0</v>
      </c>
      <c r="N484" s="16">
        <v>5.0</v>
      </c>
      <c r="O484" s="16">
        <v>8.0</v>
      </c>
      <c r="P484" s="16">
        <v>9.0</v>
      </c>
      <c r="Q484" s="17" t="str">
        <f t="shared" si="1"/>
        <v>1.125</v>
      </c>
      <c r="R484" s="17" t="str">
        <f t="shared" si="2"/>
        <v>1.039809863</v>
      </c>
      <c r="S484" s="17" t="str">
        <f t="shared" si="8"/>
        <v>1.6</v>
      </c>
      <c r="T484" s="17" t="s">
        <v>30</v>
      </c>
      <c r="U484" s="17" t="str">
        <f t="shared" ref="U484:U485" si="424">IF(R484&lt;0.1, "Partial discharge", "Low temperature thermal ")</f>
        <v>Low temperature thermal </v>
      </c>
      <c r="V484" s="17" t="s">
        <v>37</v>
      </c>
      <c r="W484" s="17" t="str">
        <f t="shared" si="3"/>
        <v>1.125</v>
      </c>
      <c r="X484" s="17" t="str">
        <f t="shared" si="33"/>
        <v>1.039809863</v>
      </c>
      <c r="Y484" s="17" t="str">
        <f t="shared" si="9"/>
        <v>1.6</v>
      </c>
      <c r="Z484" s="17" t="str">
        <f t="shared" si="423"/>
        <v>Discharge of Low Energy,  </v>
      </c>
      <c r="AA484" s="17" t="str">
        <f t="shared" si="418"/>
        <v>Thermal  Fault &gt;300c and&lt;700 and &gt;700 c</v>
      </c>
      <c r="AB484" s="17" t="str">
        <f>IF(Y484&lt;0.2,"Partial Discharges, ",IF(Y484&gt;1,"Thermal  Fault  &gt;700 c"))</f>
        <v>Thermal  Fault  &gt;700 c</v>
      </c>
      <c r="AC484" s="17" t="str">
        <f t="shared" si="5"/>
        <v>1.039809863</v>
      </c>
      <c r="AD484" s="18" t="str">
        <f t="shared" si="10"/>
        <v>1.125</v>
      </c>
      <c r="AE484" s="17" t="str">
        <f t="shared" si="6"/>
        <v>1.285714286</v>
      </c>
      <c r="AF484" s="17" t="str">
        <f t="shared" si="11"/>
        <v>0.5555555556</v>
      </c>
      <c r="AG484" s="17" t="str">
        <f t="shared" si="420"/>
        <v>Thermal Decomposition, </v>
      </c>
      <c r="AH484" s="17" t="str">
        <f t="shared" si="416"/>
        <v>Arching</v>
      </c>
      <c r="AI484" s="17" t="str">
        <f t="shared" si="16"/>
        <v>Arching</v>
      </c>
      <c r="AJ484" s="17" t="str">
        <f t="shared" si="235"/>
        <v>Thermal Decomposition,corona </v>
      </c>
    </row>
    <row r="485" ht="12.75" customHeight="1">
      <c r="A485" s="11">
        <v>484.0</v>
      </c>
      <c r="B485" s="21" t="s">
        <v>441</v>
      </c>
      <c r="C485" s="21" t="s">
        <v>40</v>
      </c>
      <c r="D485" s="21" t="s">
        <v>439</v>
      </c>
      <c r="E485" s="21" t="s">
        <v>106</v>
      </c>
      <c r="F485" s="21">
        <v>2018.0</v>
      </c>
      <c r="G485" s="25">
        <v>7.8</v>
      </c>
      <c r="H485" s="16">
        <v>2.0</v>
      </c>
      <c r="I485" s="16">
        <v>14117.765999999998</v>
      </c>
      <c r="J485" s="16">
        <v>61654.71</v>
      </c>
      <c r="K485" s="16">
        <v>122.85</v>
      </c>
      <c r="L485" s="16">
        <v>1333.644</v>
      </c>
      <c r="M485" s="16">
        <v>8.0</v>
      </c>
      <c r="N485" s="16">
        <v>9.0</v>
      </c>
      <c r="O485" s="16">
        <v>9.0</v>
      </c>
      <c r="P485" s="16">
        <v>8.0</v>
      </c>
      <c r="Q485" s="17" t="str">
        <f t="shared" si="1"/>
        <v>0.8888888889</v>
      </c>
      <c r="R485" s="17" t="str">
        <f t="shared" si="2"/>
        <v>4</v>
      </c>
      <c r="S485" s="17" t="str">
        <f t="shared" si="8"/>
        <v>1</v>
      </c>
      <c r="T485" s="17" t="str">
        <f>IF(Q485&lt;1,"Partial discharge,Low Temprature thermal fault,")</f>
        <v>Partial discharge,Low Temprature thermal fault,</v>
      </c>
      <c r="U485" s="17" t="str">
        <f t="shared" si="424"/>
        <v>Low temperature thermal </v>
      </c>
      <c r="V485" s="17" t="s">
        <v>37</v>
      </c>
      <c r="W485" s="17" t="str">
        <f t="shared" si="3"/>
        <v>0.8888888889</v>
      </c>
      <c r="X485" s="17" t="str">
        <f t="shared" si="33"/>
        <v>4</v>
      </c>
      <c r="Y485" s="17" t="str">
        <f t="shared" si="9"/>
        <v>1</v>
      </c>
      <c r="Z485" s="17" t="s">
        <v>34</v>
      </c>
      <c r="AA485" s="17" t="str">
        <f t="shared" si="418"/>
        <v>Thermal  Fault &gt;300c and&lt;700 and &gt;700 c</v>
      </c>
      <c r="AB485" s="17" t="s">
        <v>107</v>
      </c>
      <c r="AC485" s="17" t="str">
        <f t="shared" si="5"/>
        <v>4</v>
      </c>
      <c r="AD485" s="18" t="str">
        <f t="shared" si="10"/>
        <v>0.8888888889</v>
      </c>
      <c r="AE485" s="17" t="str">
        <f t="shared" si="6"/>
        <v>1</v>
      </c>
      <c r="AF485" s="17" t="str">
        <f t="shared" si="11"/>
        <v>1.125</v>
      </c>
      <c r="AG485" s="17" t="str">
        <f t="shared" si="420"/>
        <v>Thermal Decomposition, </v>
      </c>
      <c r="AH485" s="17" t="str">
        <f t="shared" si="416"/>
        <v>Arching</v>
      </c>
      <c r="AI485" s="17" t="str">
        <f t="shared" si="16"/>
        <v>Arching</v>
      </c>
      <c r="AJ485" s="17" t="str">
        <f t="shared" si="235"/>
        <v>Thermal Decomposition,corona </v>
      </c>
    </row>
    <row r="486" ht="12.75" customHeight="1">
      <c r="A486" s="11">
        <v>485.0</v>
      </c>
      <c r="B486" s="21" t="s">
        <v>442</v>
      </c>
      <c r="C486" s="21" t="s">
        <v>40</v>
      </c>
      <c r="D486" s="21" t="s">
        <v>439</v>
      </c>
      <c r="E486" s="21" t="s">
        <v>93</v>
      </c>
      <c r="F486" s="21">
        <v>2008.0</v>
      </c>
      <c r="G486" s="17">
        <v>8.1</v>
      </c>
      <c r="H486" s="16">
        <v>7.0</v>
      </c>
      <c r="I486" s="16">
        <v>13725.935999999998</v>
      </c>
      <c r="J486" s="16">
        <v>65259.26999999999</v>
      </c>
      <c r="K486" s="16">
        <v>136.7766</v>
      </c>
      <c r="L486" s="16">
        <v>1450.5479999999998</v>
      </c>
      <c r="M486" s="16">
        <v>6.0</v>
      </c>
      <c r="N486" s="16">
        <v>6.0</v>
      </c>
      <c r="O486" s="16">
        <v>7.0</v>
      </c>
      <c r="P486" s="16">
        <v>8.0</v>
      </c>
      <c r="Q486" s="17" t="str">
        <f t="shared" si="1"/>
        <v>1.142857143</v>
      </c>
      <c r="R486" s="17" t="str">
        <f t="shared" si="2"/>
        <v>0.8571428571</v>
      </c>
      <c r="S486" s="17" t="str">
        <f t="shared" si="8"/>
        <v>1.166666667</v>
      </c>
      <c r="T486" s="17" t="s">
        <v>30</v>
      </c>
      <c r="U486" s="17" t="s">
        <v>30</v>
      </c>
      <c r="V486" s="17" t="s">
        <v>37</v>
      </c>
      <c r="W486" s="17" t="str">
        <f t="shared" si="3"/>
        <v>1.142857143</v>
      </c>
      <c r="X486" s="17" t="str">
        <f t="shared" si="33"/>
        <v>0.8571428571</v>
      </c>
      <c r="Y486" s="17" t="str">
        <f t="shared" si="9"/>
        <v>1.166666667</v>
      </c>
      <c r="Z486" s="17" t="str">
        <f>IF(W486&gt;1,"Discharge of Low Energy,  ",IF(W486&lt;0.1,"Thermal  Fault&gt; 300c and&lt;700 c"))</f>
        <v>Discharge of Low Energy,  </v>
      </c>
      <c r="AA486" s="17" t="s">
        <v>34</v>
      </c>
      <c r="AB486" s="17" t="str">
        <f>IF(Y486&lt;0.2,"Partial Discharges, ",IF(Y486&gt;1,"Thermal  Fault  &gt;700 c"))</f>
        <v>Thermal  Fault  &gt;700 c</v>
      </c>
      <c r="AC486" s="17" t="str">
        <f t="shared" si="5"/>
        <v>0.8571428571</v>
      </c>
      <c r="AD486" s="18" t="str">
        <f t="shared" si="10"/>
        <v>1.142857143</v>
      </c>
      <c r="AE486" s="17" t="str">
        <f t="shared" si="6"/>
        <v>1.333333333</v>
      </c>
      <c r="AF486" s="17" t="str">
        <f t="shared" si="11"/>
        <v>0.75</v>
      </c>
      <c r="AG486" s="17" t="s">
        <v>30</v>
      </c>
      <c r="AH486" s="17" t="str">
        <f t="shared" si="416"/>
        <v>Arching</v>
      </c>
      <c r="AI486" s="17" t="str">
        <f t="shared" si="16"/>
        <v>Arching</v>
      </c>
      <c r="AJ486" s="17" t="str">
        <f t="shared" si="235"/>
        <v>Thermal Decomposition,corona </v>
      </c>
    </row>
    <row r="487" ht="12.75" customHeight="1">
      <c r="A487" s="11">
        <v>486.0</v>
      </c>
      <c r="B487" s="21" t="s">
        <v>443</v>
      </c>
      <c r="C487" s="21" t="s">
        <v>438</v>
      </c>
      <c r="D487" s="21" t="s">
        <v>439</v>
      </c>
      <c r="E487" s="21" t="s">
        <v>440</v>
      </c>
      <c r="F487" s="21">
        <v>1990.0</v>
      </c>
      <c r="G487" s="17">
        <v>7.4</v>
      </c>
      <c r="H487" s="16">
        <v>5.0</v>
      </c>
      <c r="I487" s="16">
        <v>11665.36</v>
      </c>
      <c r="J487" s="16">
        <v>59947.178</v>
      </c>
      <c r="K487" s="16">
        <v>134.088</v>
      </c>
      <c r="L487" s="16">
        <v>1486.2160000000001</v>
      </c>
      <c r="M487" s="16">
        <v>9.0</v>
      </c>
      <c r="N487" s="16">
        <v>9.0</v>
      </c>
      <c r="O487" s="16">
        <v>6.0</v>
      </c>
      <c r="P487" s="16">
        <v>6.0</v>
      </c>
      <c r="Q487" s="17" t="str">
        <f t="shared" si="1"/>
        <v>1</v>
      </c>
      <c r="R487" s="17" t="str">
        <f t="shared" si="2"/>
        <v>1.8</v>
      </c>
      <c r="S487" s="17" t="str">
        <f t="shared" si="8"/>
        <v>0.6666666667</v>
      </c>
      <c r="T487" s="17" t="s">
        <v>30</v>
      </c>
      <c r="U487" s="17" t="s">
        <v>30</v>
      </c>
      <c r="V487" s="17" t="str">
        <f>IF(S487&lt;1,"Partial discharge, Normal ",IF(S487&gt;3,"Arching,Thermal  Fault &gt; 700 c"))</f>
        <v>Partial discharge, Normal </v>
      </c>
      <c r="W487" s="17" t="str">
        <f t="shared" si="3"/>
        <v>1</v>
      </c>
      <c r="X487" s="17" t="str">
        <f t="shared" si="33"/>
        <v>1.8</v>
      </c>
      <c r="Y487" s="17" t="str">
        <f t="shared" si="9"/>
        <v>0.6666666667</v>
      </c>
      <c r="Z487" s="17" t="s">
        <v>34</v>
      </c>
      <c r="AA487" s="17" t="str">
        <f t="shared" ref="AA487:AA488" si="425">IF(X487&lt;0.1,"Partial Discharges, ",IF(X487&gt;1,"Thermal  Fault &gt;300c and&lt;700 and &gt;700 c"))</f>
        <v>Thermal  Fault &gt;300c and&lt;700 and &gt;700 c</v>
      </c>
      <c r="AB487" s="17" t="s">
        <v>107</v>
      </c>
      <c r="AC487" s="17" t="str">
        <f t="shared" si="5"/>
        <v>1.8</v>
      </c>
      <c r="AD487" s="18" t="str">
        <f t="shared" si="10"/>
        <v>1</v>
      </c>
      <c r="AE487" s="17" t="str">
        <f t="shared" si="6"/>
        <v>0.6666666667</v>
      </c>
      <c r="AF487" s="17" t="str">
        <f t="shared" si="11"/>
        <v>1.5</v>
      </c>
      <c r="AG487" s="17" t="str">
        <f t="shared" ref="AG487:AG488" si="426">IF(AC487&gt;1,"Thermal Decomposition, ",IF(AC487&lt;0.1,"Corona,Arching"))</f>
        <v>Thermal Decomposition, </v>
      </c>
      <c r="AH487" s="17" t="str">
        <f t="shared" si="416"/>
        <v>Arching</v>
      </c>
      <c r="AI487" s="17" t="str">
        <f t="shared" si="16"/>
        <v>Arching</v>
      </c>
      <c r="AJ487" s="17" t="str">
        <f t="shared" si="235"/>
        <v>Thermal Decomposition,corona </v>
      </c>
    </row>
    <row r="488" ht="12.75" customHeight="1">
      <c r="A488" s="11">
        <v>487.0</v>
      </c>
      <c r="B488" s="17" t="s">
        <v>444</v>
      </c>
      <c r="C488" s="17" t="s">
        <v>40</v>
      </c>
      <c r="D488" s="17" t="s">
        <v>445</v>
      </c>
      <c r="E488" s="17" t="s">
        <v>106</v>
      </c>
      <c r="F488" s="17">
        <v>2009.0</v>
      </c>
      <c r="G488" s="17">
        <v>7.0</v>
      </c>
      <c r="H488" s="16">
        <v>8.0</v>
      </c>
      <c r="I488" s="16">
        <v>10616.48</v>
      </c>
      <c r="J488" s="16">
        <v>56746.69</v>
      </c>
      <c r="K488" s="16">
        <v>137.13</v>
      </c>
      <c r="L488" s="16">
        <v>1452.1499999999999</v>
      </c>
      <c r="M488" s="16">
        <v>9.0</v>
      </c>
      <c r="N488" s="16">
        <v>7.0</v>
      </c>
      <c r="O488" s="16">
        <v>9.0</v>
      </c>
      <c r="P488" s="16">
        <v>4.0</v>
      </c>
      <c r="Q488" s="17" t="str">
        <f t="shared" si="1"/>
        <v>0.4444444444</v>
      </c>
      <c r="R488" s="17" t="str">
        <f t="shared" si="2"/>
        <v>1.125</v>
      </c>
      <c r="S488" s="17" t="str">
        <f t="shared" si="8"/>
        <v>1.285714286</v>
      </c>
      <c r="T488" s="17" t="str">
        <f>IF(Q488&lt;1,"Partial discharge,Low Temprature thermal fault,")</f>
        <v>Partial discharge,Low Temprature thermal fault,</v>
      </c>
      <c r="U488" s="17" t="s">
        <v>30</v>
      </c>
      <c r="V488" s="17" t="s">
        <v>37</v>
      </c>
      <c r="W488" s="17" t="str">
        <f t="shared" si="3"/>
        <v>0.4444444444</v>
      </c>
      <c r="X488" s="17" t="str">
        <f t="shared" si="33"/>
        <v>1.125</v>
      </c>
      <c r="Y488" s="17" t="str">
        <f t="shared" si="9"/>
        <v>1.285714286</v>
      </c>
      <c r="Z488" s="17" t="s">
        <v>34</v>
      </c>
      <c r="AA488" s="17" t="str">
        <f t="shared" si="425"/>
        <v>Thermal  Fault &gt;300c and&lt;700 and &gt;700 c</v>
      </c>
      <c r="AB488" s="17" t="str">
        <f t="shared" ref="AB488:AB490" si="427">IF(Y488&lt;0.2,"Partial Discharges, ",IF(Y488&gt;1,"Thermal  Fault  &gt;700 c"))</f>
        <v>Thermal  Fault  &gt;700 c</v>
      </c>
      <c r="AC488" s="17" t="str">
        <f t="shared" si="5"/>
        <v>1.125</v>
      </c>
      <c r="AD488" s="18" t="str">
        <f t="shared" si="10"/>
        <v>0.4444444444</v>
      </c>
      <c r="AE488" s="17" t="str">
        <f t="shared" si="6"/>
        <v>0.4444444444</v>
      </c>
      <c r="AF488" s="17" t="str">
        <f t="shared" si="11"/>
        <v>1.75</v>
      </c>
      <c r="AG488" s="17" t="str">
        <f t="shared" si="426"/>
        <v>Thermal Decomposition, </v>
      </c>
      <c r="AH488" s="17" t="str">
        <f t="shared" si="416"/>
        <v>Thermal Decomposition, </v>
      </c>
      <c r="AI488" s="17" t="str">
        <f t="shared" si="16"/>
        <v>Arching</v>
      </c>
      <c r="AJ488" s="17" t="str">
        <f t="shared" si="235"/>
        <v>Thermal Decomposition,corona </v>
      </c>
    </row>
    <row r="489" ht="12.75" customHeight="1">
      <c r="A489" s="11">
        <v>488.0</v>
      </c>
      <c r="B489" s="17" t="s">
        <v>446</v>
      </c>
      <c r="C489" s="17" t="s">
        <v>40</v>
      </c>
      <c r="D489" s="17" t="s">
        <v>445</v>
      </c>
      <c r="E489" s="17" t="s">
        <v>106</v>
      </c>
      <c r="F489" s="17">
        <v>2009.0</v>
      </c>
      <c r="G489" s="17">
        <v>7.5</v>
      </c>
      <c r="H489" s="16">
        <v>6.0</v>
      </c>
      <c r="I489" s="16">
        <v>11096.25</v>
      </c>
      <c r="J489" s="16">
        <v>61612.125</v>
      </c>
      <c r="K489" s="16">
        <v>148.875</v>
      </c>
      <c r="L489" s="16">
        <v>1510.8</v>
      </c>
      <c r="M489" s="16">
        <v>1.5</v>
      </c>
      <c r="N489" s="16">
        <v>5.0</v>
      </c>
      <c r="O489" s="16">
        <v>9.0</v>
      </c>
      <c r="P489" s="16">
        <v>45.0</v>
      </c>
      <c r="Q489" s="17" t="str">
        <f t="shared" si="1"/>
        <v>5</v>
      </c>
      <c r="R489" s="17" t="str">
        <f t="shared" si="2"/>
        <v>0.25</v>
      </c>
      <c r="S489" s="17" t="str">
        <f t="shared" si="8"/>
        <v>1.8</v>
      </c>
      <c r="T489" s="17" t="s">
        <v>30</v>
      </c>
      <c r="U489" s="17" t="s">
        <v>30</v>
      </c>
      <c r="V489" s="17" t="s">
        <v>37</v>
      </c>
      <c r="W489" s="17" t="str">
        <f t="shared" si="3"/>
        <v>5</v>
      </c>
      <c r="X489" s="17" t="str">
        <f t="shared" si="33"/>
        <v>0.25</v>
      </c>
      <c r="Y489" s="17" t="str">
        <f t="shared" si="9"/>
        <v>1.8</v>
      </c>
      <c r="Z489" s="17" t="str">
        <f>IF(W489&gt;1,"Discharge of Low Energy,  ",IF(W489&lt;0.1,"Thermal  Fault&gt; 300c and&lt;700 c"))</f>
        <v>Discharge of Low Energy,  </v>
      </c>
      <c r="AA489" s="17" t="s">
        <v>245</v>
      </c>
      <c r="AB489" s="17" t="str">
        <f t="shared" si="427"/>
        <v>Thermal  Fault  &gt;700 c</v>
      </c>
      <c r="AC489" s="17" t="str">
        <f t="shared" si="5"/>
        <v>0.25</v>
      </c>
      <c r="AD489" s="18" t="str">
        <f t="shared" si="10"/>
        <v>5</v>
      </c>
      <c r="AE489" s="17" t="str">
        <f t="shared" si="6"/>
        <v>30</v>
      </c>
      <c r="AF489" s="17" t="str">
        <f t="shared" si="11"/>
        <v>0.1111111111</v>
      </c>
      <c r="AG489" s="17" t="s">
        <v>30</v>
      </c>
      <c r="AH489" s="17" t="str">
        <f t="shared" si="416"/>
        <v>Arching</v>
      </c>
      <c r="AI489" s="17" t="str">
        <f t="shared" si="16"/>
        <v>Arching</v>
      </c>
      <c r="AJ489" s="17" t="str">
        <f t="shared" si="235"/>
        <v>Arching</v>
      </c>
    </row>
    <row r="490" ht="12.75" customHeight="1">
      <c r="A490" s="11">
        <v>489.0</v>
      </c>
      <c r="B490" s="21" t="s">
        <v>292</v>
      </c>
      <c r="C490" s="21" t="s">
        <v>186</v>
      </c>
      <c r="D490" s="21" t="s">
        <v>249</v>
      </c>
      <c r="E490" s="21" t="s">
        <v>106</v>
      </c>
      <c r="F490" s="21">
        <v>2004.0</v>
      </c>
      <c r="G490" s="17">
        <v>6.5</v>
      </c>
      <c r="H490" s="16">
        <v>52.52</v>
      </c>
      <c r="I490" s="16">
        <v>9492.925</v>
      </c>
      <c r="J490" s="16">
        <v>52218.66</v>
      </c>
      <c r="K490" s="16">
        <v>211.64000000000001</v>
      </c>
      <c r="L490" s="16">
        <v>2342.925</v>
      </c>
      <c r="M490" s="16">
        <v>51.934999999999995</v>
      </c>
      <c r="N490" s="16">
        <v>4.029999999999999</v>
      </c>
      <c r="O490" s="16">
        <v>110.62999999999998</v>
      </c>
      <c r="P490" s="16">
        <v>115.0</v>
      </c>
      <c r="Q490" s="17" t="str">
        <f t="shared" si="1"/>
        <v>1.03950104</v>
      </c>
      <c r="R490" s="17" t="str">
        <f t="shared" si="2"/>
        <v>0.9888613861</v>
      </c>
      <c r="S490" s="17" t="str">
        <f t="shared" si="8"/>
        <v>27.4516129</v>
      </c>
      <c r="T490" s="17" t="s">
        <v>30</v>
      </c>
      <c r="U490" s="17" t="s">
        <v>31</v>
      </c>
      <c r="V490" s="17" t="str">
        <f t="shared" ref="V490:V491" si="428">IF(S490&lt;1,"Partial discharge, Normal ",IF(S490&gt;3,"Arching,Thermal  Fault &gt; 700 c"))</f>
        <v>Arching,Thermal  Fault &gt; 700 c</v>
      </c>
      <c r="W490" s="17" t="str">
        <f t="shared" si="3"/>
        <v>1.03950104</v>
      </c>
      <c r="X490" s="17" t="str">
        <f t="shared" si="33"/>
        <v>0.9888613861</v>
      </c>
      <c r="Y490" s="17" t="str">
        <f t="shared" si="9"/>
        <v>27.4516129</v>
      </c>
      <c r="Z490" s="17" t="s">
        <v>278</v>
      </c>
      <c r="AA490" s="17" t="s">
        <v>34</v>
      </c>
      <c r="AB490" s="17" t="str">
        <f t="shared" si="427"/>
        <v>Thermal  Fault  &gt;700 c</v>
      </c>
      <c r="AC490" s="17" t="str">
        <f t="shared" si="5"/>
        <v>0.9888613861</v>
      </c>
      <c r="AD490" s="18" t="str">
        <f t="shared" si="10"/>
        <v>1.03950104</v>
      </c>
      <c r="AE490" s="17" t="str">
        <f t="shared" si="6"/>
        <v>2.214306344</v>
      </c>
      <c r="AF490" s="17" t="str">
        <f t="shared" si="11"/>
        <v>0.03504347826</v>
      </c>
      <c r="AG490" s="17" t="s">
        <v>30</v>
      </c>
      <c r="AH490" s="17" t="str">
        <f t="shared" si="416"/>
        <v>Arching</v>
      </c>
      <c r="AI490" s="17" t="str">
        <f t="shared" si="16"/>
        <v>Arching</v>
      </c>
      <c r="AJ490" s="17" t="str">
        <f t="shared" si="235"/>
        <v>Arching</v>
      </c>
    </row>
    <row r="491" ht="12.75" customHeight="1">
      <c r="A491" s="11">
        <v>490.0</v>
      </c>
      <c r="B491" s="21" t="s">
        <v>292</v>
      </c>
      <c r="C491" s="21" t="s">
        <v>186</v>
      </c>
      <c r="D491" s="21" t="s">
        <v>249</v>
      </c>
      <c r="E491" s="21" t="s">
        <v>106</v>
      </c>
      <c r="F491" s="21">
        <v>2004.0</v>
      </c>
      <c r="G491" s="17">
        <v>100.0</v>
      </c>
      <c r="H491" s="16">
        <v>11.0</v>
      </c>
      <c r="I491" s="16">
        <v>73424.0</v>
      </c>
      <c r="J491" s="16">
        <v>915402.0</v>
      </c>
      <c r="K491" s="16">
        <v>154.0</v>
      </c>
      <c r="L491" s="16">
        <v>1477.0</v>
      </c>
      <c r="M491" s="16">
        <v>16.0</v>
      </c>
      <c r="N491" s="16">
        <v>12.0</v>
      </c>
      <c r="O491" s="16">
        <v>9.0</v>
      </c>
      <c r="P491" s="16">
        <v>8.0</v>
      </c>
      <c r="Q491" s="17" t="str">
        <f t="shared" si="1"/>
        <v>0.8888888889</v>
      </c>
      <c r="R491" s="17" t="str">
        <f t="shared" si="2"/>
        <v>1.454545455</v>
      </c>
      <c r="S491" s="17" t="str">
        <f t="shared" si="8"/>
        <v>0.75</v>
      </c>
      <c r="T491" s="17" t="str">
        <f>IF(Q491&lt;1,"Partial discharge,Low Temprature thermal fault,")</f>
        <v>Partial discharge,Low Temprature thermal fault,</v>
      </c>
      <c r="U491" s="17" t="str">
        <f>IF(R491&gt;1,"Thermal Fault &lt;700c, thermal fault &gt;700c ")</f>
        <v>Thermal Fault &lt;700c, thermal fault &gt;700c </v>
      </c>
      <c r="V491" s="17" t="str">
        <f t="shared" si="428"/>
        <v>Partial discharge, Normal </v>
      </c>
      <c r="W491" s="17" t="str">
        <f t="shared" si="3"/>
        <v>0.8888888889</v>
      </c>
      <c r="X491" s="17" t="str">
        <f t="shared" si="33"/>
        <v>1.454545455</v>
      </c>
      <c r="Y491" s="17" t="str">
        <f t="shared" si="9"/>
        <v>0.75</v>
      </c>
      <c r="Z491" s="17" t="s">
        <v>34</v>
      </c>
      <c r="AA491" s="17" t="str">
        <f t="shared" ref="AA491:AA492" si="429">IF(X491&lt;0.1,"Partial Discharges, ",IF(X491&gt;1,"Thermal  Fault &gt;300c and&lt;700 and &gt;700 c"))</f>
        <v>Thermal  Fault &gt;300c and&lt;700 and &gt;700 c</v>
      </c>
      <c r="AB491" s="17" t="s">
        <v>107</v>
      </c>
      <c r="AC491" s="17" t="str">
        <f t="shared" si="5"/>
        <v>1.454545455</v>
      </c>
      <c r="AD491" s="18" t="str">
        <f t="shared" si="10"/>
        <v>0.8888888889</v>
      </c>
      <c r="AE491" s="17" t="str">
        <f t="shared" si="6"/>
        <v>0.5</v>
      </c>
      <c r="AF491" s="17" t="str">
        <f t="shared" si="11"/>
        <v>1.5</v>
      </c>
      <c r="AG491" s="17" t="str">
        <f t="shared" ref="AG491:AG492" si="430">IF(AC491&gt;1,"Thermal Decomposition, ",IF(AC491&lt;0.1,"Corona,Arching"))</f>
        <v>Thermal Decomposition, </v>
      </c>
      <c r="AH491" s="17" t="str">
        <f t="shared" si="416"/>
        <v>Arching</v>
      </c>
      <c r="AI491" s="17" t="str">
        <f t="shared" si="16"/>
        <v>Arching</v>
      </c>
      <c r="AJ491" s="17" t="str">
        <f t="shared" si="235"/>
        <v>Thermal Decomposition,corona </v>
      </c>
    </row>
    <row r="492" ht="12.75" customHeight="1">
      <c r="A492" s="11">
        <v>491.0</v>
      </c>
      <c r="B492" s="14" t="s">
        <v>162</v>
      </c>
      <c r="C492" s="14" t="s">
        <v>147</v>
      </c>
      <c r="D492" s="14" t="s">
        <v>148</v>
      </c>
      <c r="E492" s="14" t="s">
        <v>149</v>
      </c>
      <c r="F492" s="14">
        <v>2012.0</v>
      </c>
      <c r="G492" s="14">
        <v>7.3</v>
      </c>
      <c r="H492" s="15">
        <v>4.9639999999999995</v>
      </c>
      <c r="I492" s="15">
        <v>11931.266000000001</v>
      </c>
      <c r="J492" s="15">
        <v>58848.07399999999</v>
      </c>
      <c r="K492" s="15">
        <v>112.785</v>
      </c>
      <c r="L492" s="15">
        <v>1215.085</v>
      </c>
      <c r="M492" s="15">
        <v>6.0</v>
      </c>
      <c r="N492" s="15">
        <v>6.0</v>
      </c>
      <c r="O492" s="15">
        <v>6.0</v>
      </c>
      <c r="P492" s="15">
        <v>7.0</v>
      </c>
      <c r="Q492" s="17" t="str">
        <f t="shared" si="1"/>
        <v>1.166666667</v>
      </c>
      <c r="R492" s="17" t="str">
        <f t="shared" si="2"/>
        <v>1.208702659</v>
      </c>
      <c r="S492" s="17" t="str">
        <f t="shared" si="8"/>
        <v>1</v>
      </c>
      <c r="T492" s="17" t="s">
        <v>30</v>
      </c>
      <c r="U492" s="17" t="str">
        <f>IF(R492&lt;0.1, "Partial discharge", "Low temperature thermal ")</f>
        <v>Low temperature thermal </v>
      </c>
      <c r="V492" s="17" t="s">
        <v>37</v>
      </c>
      <c r="W492" s="17" t="str">
        <f t="shared" si="3"/>
        <v>1.166666667</v>
      </c>
      <c r="X492" s="17" t="str">
        <f t="shared" si="33"/>
        <v>1.208702659</v>
      </c>
      <c r="Y492" s="17" t="str">
        <f t="shared" si="9"/>
        <v>1</v>
      </c>
      <c r="Z492" s="17" t="str">
        <f t="shared" ref="Z492:Z493" si="431">IF(W492&gt;1,"Discharge of Low Energy,  ",IF(W492&lt;0.1,"Thermal  Fault&gt; 300c and&lt;700 c"))</f>
        <v>Discharge of Low Energy,  </v>
      </c>
      <c r="AA492" s="17" t="str">
        <f t="shared" si="429"/>
        <v>Thermal  Fault &gt;300c and&lt;700 and &gt;700 c</v>
      </c>
      <c r="AB492" s="17" t="s">
        <v>107</v>
      </c>
      <c r="AC492" s="17" t="str">
        <f t="shared" si="5"/>
        <v>1.208702659</v>
      </c>
      <c r="AD492" s="18" t="str">
        <f t="shared" si="10"/>
        <v>1.166666667</v>
      </c>
      <c r="AE492" s="17" t="str">
        <f t="shared" si="6"/>
        <v>1.166666667</v>
      </c>
      <c r="AF492" s="17" t="str">
        <f t="shared" si="11"/>
        <v>0.8571428571</v>
      </c>
      <c r="AG492" s="17" t="str">
        <f t="shared" si="430"/>
        <v>Thermal Decomposition, </v>
      </c>
      <c r="AH492" s="17" t="str">
        <f t="shared" si="416"/>
        <v>Arching</v>
      </c>
      <c r="AI492" s="17" t="str">
        <f t="shared" si="16"/>
        <v>Arching</v>
      </c>
      <c r="AJ492" s="17" t="str">
        <f t="shared" si="235"/>
        <v>Thermal Decomposition,corona </v>
      </c>
    </row>
    <row r="493" ht="12.75" customHeight="1">
      <c r="A493" s="11">
        <v>492.0</v>
      </c>
      <c r="B493" s="14" t="s">
        <v>381</v>
      </c>
      <c r="C493" s="14" t="s">
        <v>147</v>
      </c>
      <c r="D493" s="14" t="s">
        <v>148</v>
      </c>
      <c r="E493" s="14" t="s">
        <v>149</v>
      </c>
      <c r="F493" s="14">
        <v>2016.0</v>
      </c>
      <c r="G493" s="14">
        <v>7.4</v>
      </c>
      <c r="H493" s="15">
        <v>8.0</v>
      </c>
      <c r="I493" s="15">
        <v>12781.650000000001</v>
      </c>
      <c r="J493" s="15">
        <v>59376.933999999994</v>
      </c>
      <c r="K493" s="15">
        <v>83.99000000000001</v>
      </c>
      <c r="L493" s="15">
        <v>904.4280000000001</v>
      </c>
      <c r="M493" s="15">
        <v>8.0</v>
      </c>
      <c r="N493" s="15">
        <v>5.0</v>
      </c>
      <c r="O493" s="15">
        <v>5.0</v>
      </c>
      <c r="P493" s="15">
        <v>9.0</v>
      </c>
      <c r="Q493" s="17" t="str">
        <f t="shared" si="1"/>
        <v>1.8</v>
      </c>
      <c r="R493" s="17" t="str">
        <f t="shared" si="2"/>
        <v>1</v>
      </c>
      <c r="S493" s="17" t="str">
        <f t="shared" si="8"/>
        <v>1</v>
      </c>
      <c r="T493" s="17" t="s">
        <v>30</v>
      </c>
      <c r="U493" s="17" t="s">
        <v>30</v>
      </c>
      <c r="V493" s="17" t="s">
        <v>37</v>
      </c>
      <c r="W493" s="17" t="str">
        <f t="shared" si="3"/>
        <v>1.8</v>
      </c>
      <c r="X493" s="17" t="str">
        <f t="shared" si="33"/>
        <v>1</v>
      </c>
      <c r="Y493" s="17" t="str">
        <f t="shared" si="9"/>
        <v>1</v>
      </c>
      <c r="Z493" s="17" t="str">
        <f t="shared" si="431"/>
        <v>Discharge of Low Energy,  </v>
      </c>
      <c r="AA493" s="17" t="s">
        <v>34</v>
      </c>
      <c r="AB493" s="17" t="s">
        <v>107</v>
      </c>
      <c r="AC493" s="17" t="str">
        <f t="shared" si="5"/>
        <v>1</v>
      </c>
      <c r="AD493" s="18" t="str">
        <f t="shared" si="10"/>
        <v>1.8</v>
      </c>
      <c r="AE493" s="17" t="str">
        <f t="shared" si="6"/>
        <v>1.125</v>
      </c>
      <c r="AF493" s="17" t="str">
        <f t="shared" si="11"/>
        <v>0.5555555556</v>
      </c>
      <c r="AG493" s="17" t="s">
        <v>30</v>
      </c>
      <c r="AH493" s="17" t="str">
        <f t="shared" si="416"/>
        <v>Arching</v>
      </c>
      <c r="AI493" s="17" t="str">
        <f t="shared" si="16"/>
        <v>Arching</v>
      </c>
      <c r="AJ493" s="17" t="str">
        <f t="shared" si="235"/>
        <v>Thermal Decomposition,corona </v>
      </c>
    </row>
    <row r="494" ht="12.75" customHeight="1">
      <c r="A494" s="11">
        <v>493.0</v>
      </c>
      <c r="B494" s="21" t="s">
        <v>135</v>
      </c>
      <c r="C494" s="21" t="s">
        <v>136</v>
      </c>
      <c r="D494" s="21" t="s">
        <v>447</v>
      </c>
      <c r="E494" s="21" t="s">
        <v>138</v>
      </c>
      <c r="F494" s="21">
        <v>2013.0</v>
      </c>
      <c r="G494" s="17">
        <v>7.1</v>
      </c>
      <c r="H494" s="16">
        <v>4.0</v>
      </c>
      <c r="I494" s="16">
        <v>9421.487</v>
      </c>
      <c r="J494" s="16">
        <v>60284.254</v>
      </c>
      <c r="K494" s="16">
        <v>64.184</v>
      </c>
      <c r="L494" s="16">
        <v>641.769</v>
      </c>
      <c r="M494" s="16">
        <v>9.0</v>
      </c>
      <c r="N494" s="16">
        <v>8.0</v>
      </c>
      <c r="O494" s="16">
        <v>9.0</v>
      </c>
      <c r="P494" s="16">
        <v>6.0</v>
      </c>
      <c r="Q494" s="17" t="str">
        <f t="shared" si="1"/>
        <v>0.6666666667</v>
      </c>
      <c r="R494" s="17" t="str">
        <f t="shared" si="2"/>
        <v>2.25</v>
      </c>
      <c r="S494" s="17" t="str">
        <f t="shared" si="8"/>
        <v>1.125</v>
      </c>
      <c r="T494" s="17" t="str">
        <f>IF(Q494&lt;1,"Partial discharge,Low Temprature thermal fault,")</f>
        <v>Partial discharge,Low Temprature thermal fault,</v>
      </c>
      <c r="U494" s="17" t="s">
        <v>30</v>
      </c>
      <c r="V494" s="17" t="s">
        <v>37</v>
      </c>
      <c r="W494" s="17" t="str">
        <f t="shared" si="3"/>
        <v>0.6666666667</v>
      </c>
      <c r="X494" s="17" t="str">
        <f t="shared" si="33"/>
        <v>2.25</v>
      </c>
      <c r="Y494" s="17" t="str">
        <f t="shared" si="9"/>
        <v>1.125</v>
      </c>
      <c r="Z494" s="17" t="s">
        <v>34</v>
      </c>
      <c r="AA494" s="17" t="str">
        <f t="shared" ref="AA494:AA499" si="432">IF(X494&lt;0.1,"Partial Discharges, ",IF(X494&gt;1,"Thermal  Fault &gt;300c and&lt;700 and &gt;700 c"))</f>
        <v>Thermal  Fault &gt;300c and&lt;700 and &gt;700 c</v>
      </c>
      <c r="AB494" s="17" t="str">
        <f t="shared" ref="AB494:AB495" si="433">IF(Y494&lt;0.2,"Partial Discharges, ",IF(Y494&gt;1,"Thermal  Fault  &gt;700 c"))</f>
        <v>Thermal  Fault  &gt;700 c</v>
      </c>
      <c r="AC494" s="17" t="str">
        <f t="shared" si="5"/>
        <v>2.25</v>
      </c>
      <c r="AD494" s="18" t="str">
        <f t="shared" si="10"/>
        <v>0.6666666667</v>
      </c>
      <c r="AE494" s="17" t="str">
        <f t="shared" si="6"/>
        <v>0.6666666667</v>
      </c>
      <c r="AF494" s="17" t="str">
        <f t="shared" si="11"/>
        <v>1.333333333</v>
      </c>
      <c r="AG494" s="17" t="str">
        <f t="shared" ref="AG494:AG499" si="434">IF(AC494&gt;1,"Thermal Decomposition, ",IF(AC494&lt;0.1,"Corona,Arching"))</f>
        <v>Thermal Decomposition, </v>
      </c>
      <c r="AH494" s="17" t="str">
        <f t="shared" si="416"/>
        <v>Thermal Decomposition, </v>
      </c>
      <c r="AI494" s="17" t="str">
        <f t="shared" si="16"/>
        <v>Arching</v>
      </c>
      <c r="AJ494" s="17" t="str">
        <f t="shared" si="235"/>
        <v>Thermal Decomposition,corona </v>
      </c>
    </row>
    <row r="495" ht="12.75" customHeight="1">
      <c r="A495" s="11">
        <v>494.0</v>
      </c>
      <c r="B495" s="21" t="s">
        <v>139</v>
      </c>
      <c r="C495" s="21" t="s">
        <v>136</v>
      </c>
      <c r="D495" s="21" t="s">
        <v>448</v>
      </c>
      <c r="E495" s="21" t="s">
        <v>138</v>
      </c>
      <c r="F495" s="21">
        <v>2013.0</v>
      </c>
      <c r="G495" s="17">
        <v>6.4</v>
      </c>
      <c r="H495" s="16">
        <v>4.0</v>
      </c>
      <c r="I495" s="16">
        <v>9660.480000000001</v>
      </c>
      <c r="J495" s="16">
        <v>53137.152</v>
      </c>
      <c r="K495" s="16">
        <v>75.90400000000001</v>
      </c>
      <c r="L495" s="16">
        <v>771.456</v>
      </c>
      <c r="M495" s="16">
        <v>9.0</v>
      </c>
      <c r="N495" s="16">
        <v>5.0</v>
      </c>
      <c r="O495" s="16">
        <v>7.0</v>
      </c>
      <c r="P495" s="16">
        <v>8.0</v>
      </c>
      <c r="Q495" s="17" t="str">
        <f t="shared" si="1"/>
        <v>1.142857143</v>
      </c>
      <c r="R495" s="17" t="str">
        <f t="shared" si="2"/>
        <v>2.25</v>
      </c>
      <c r="S495" s="17" t="str">
        <f t="shared" si="8"/>
        <v>1.4</v>
      </c>
      <c r="T495" s="17" t="s">
        <v>30</v>
      </c>
      <c r="U495" s="17" t="s">
        <v>30</v>
      </c>
      <c r="V495" s="17" t="s">
        <v>37</v>
      </c>
      <c r="W495" s="17" t="str">
        <f t="shared" si="3"/>
        <v>1.142857143</v>
      </c>
      <c r="X495" s="17" t="str">
        <f t="shared" si="33"/>
        <v>2.25</v>
      </c>
      <c r="Y495" s="17" t="str">
        <f t="shared" si="9"/>
        <v>1.4</v>
      </c>
      <c r="Z495" s="17" t="str">
        <f t="shared" ref="Z495:Z497" si="435">IF(W495&gt;1,"Discharge of Low Energy,  ",IF(W495&lt;0.1,"Thermal  Fault&gt; 300c and&lt;700 c"))</f>
        <v>Discharge of Low Energy,  </v>
      </c>
      <c r="AA495" s="17" t="str">
        <f t="shared" si="432"/>
        <v>Thermal  Fault &gt;300c and&lt;700 and &gt;700 c</v>
      </c>
      <c r="AB495" s="17" t="str">
        <f t="shared" si="433"/>
        <v>Thermal  Fault  &gt;700 c</v>
      </c>
      <c r="AC495" s="17" t="str">
        <f t="shared" si="5"/>
        <v>2.25</v>
      </c>
      <c r="AD495" s="18" t="str">
        <f t="shared" si="10"/>
        <v>1.142857143</v>
      </c>
      <c r="AE495" s="17" t="str">
        <f t="shared" si="6"/>
        <v>0.8888888889</v>
      </c>
      <c r="AF495" s="17" t="str">
        <f t="shared" si="11"/>
        <v>0.625</v>
      </c>
      <c r="AG495" s="17" t="str">
        <f t="shared" si="434"/>
        <v>Thermal Decomposition, </v>
      </c>
      <c r="AH495" s="17" t="str">
        <f t="shared" si="416"/>
        <v>Arching</v>
      </c>
      <c r="AI495" s="17" t="str">
        <f t="shared" si="16"/>
        <v>Arching</v>
      </c>
      <c r="AJ495" s="17" t="str">
        <f t="shared" si="235"/>
        <v>Thermal Decomposition,corona </v>
      </c>
    </row>
    <row r="496" ht="12.75" customHeight="1">
      <c r="A496" s="11">
        <v>495.0</v>
      </c>
      <c r="B496" s="21" t="s">
        <v>140</v>
      </c>
      <c r="C496" s="21" t="s">
        <v>136</v>
      </c>
      <c r="D496" s="21" t="s">
        <v>449</v>
      </c>
      <c r="E496" s="21" t="s">
        <v>138</v>
      </c>
      <c r="F496" s="21">
        <v>2013.0</v>
      </c>
      <c r="G496" s="17">
        <v>7.3</v>
      </c>
      <c r="H496" s="16">
        <v>2.0</v>
      </c>
      <c r="I496" s="16">
        <v>10475.280999999999</v>
      </c>
      <c r="J496" s="16">
        <v>60785.932</v>
      </c>
      <c r="K496" s="16">
        <v>68.839</v>
      </c>
      <c r="L496" s="16">
        <v>728.029</v>
      </c>
      <c r="M496" s="16">
        <v>2.263</v>
      </c>
      <c r="N496" s="16">
        <v>8.0</v>
      </c>
      <c r="O496" s="16">
        <v>5.0</v>
      </c>
      <c r="P496" s="16">
        <v>6.0</v>
      </c>
      <c r="Q496" s="17" t="str">
        <f t="shared" si="1"/>
        <v>1.2</v>
      </c>
      <c r="R496" s="17" t="str">
        <f t="shared" si="2"/>
        <v>1.1315</v>
      </c>
      <c r="S496" s="17" t="str">
        <f t="shared" si="8"/>
        <v>0.625</v>
      </c>
      <c r="T496" s="17" t="s">
        <v>30</v>
      </c>
      <c r="U496" s="17" t="s">
        <v>30</v>
      </c>
      <c r="V496" s="17" t="str">
        <f t="shared" ref="V496:V497" si="436">IF(S496&lt;1,"Partial discharge, Normal ",IF(S496&gt;3,"Arching,Thermal  Fault &gt; 700 c"))</f>
        <v>Partial discharge, Normal </v>
      </c>
      <c r="W496" s="17" t="str">
        <f t="shared" si="3"/>
        <v>1.2</v>
      </c>
      <c r="X496" s="17" t="str">
        <f t="shared" si="33"/>
        <v>1.1315</v>
      </c>
      <c r="Y496" s="17" t="str">
        <f t="shared" si="9"/>
        <v>0.625</v>
      </c>
      <c r="Z496" s="17" t="str">
        <f t="shared" si="435"/>
        <v>Discharge of Low Energy,  </v>
      </c>
      <c r="AA496" s="17" t="str">
        <f t="shared" si="432"/>
        <v>Thermal  Fault &gt;300c and&lt;700 and &gt;700 c</v>
      </c>
      <c r="AB496" s="17" t="s">
        <v>107</v>
      </c>
      <c r="AC496" s="17" t="str">
        <f t="shared" si="5"/>
        <v>1.1315</v>
      </c>
      <c r="AD496" s="18" t="str">
        <f t="shared" si="10"/>
        <v>1.2</v>
      </c>
      <c r="AE496" s="17" t="str">
        <f t="shared" si="6"/>
        <v>2.651347768</v>
      </c>
      <c r="AF496" s="17" t="str">
        <f t="shared" si="11"/>
        <v>1.333333333</v>
      </c>
      <c r="AG496" s="17" t="str">
        <f t="shared" si="434"/>
        <v>Thermal Decomposition, </v>
      </c>
      <c r="AH496" s="17" t="str">
        <f t="shared" si="416"/>
        <v>Arching</v>
      </c>
      <c r="AI496" s="17" t="str">
        <f t="shared" si="16"/>
        <v>Arching</v>
      </c>
      <c r="AJ496" s="17" t="str">
        <f t="shared" si="235"/>
        <v>Thermal Decomposition,corona </v>
      </c>
    </row>
    <row r="497" ht="12.75" customHeight="1">
      <c r="A497" s="11">
        <v>496.0</v>
      </c>
      <c r="B497" s="21" t="s">
        <v>141</v>
      </c>
      <c r="C497" s="21" t="s">
        <v>136</v>
      </c>
      <c r="D497" s="21" t="s">
        <v>449</v>
      </c>
      <c r="E497" s="21" t="s">
        <v>138</v>
      </c>
      <c r="F497" s="21">
        <v>2012.0</v>
      </c>
      <c r="G497" s="17">
        <v>7.0</v>
      </c>
      <c r="H497" s="16">
        <v>1.0</v>
      </c>
      <c r="I497" s="16">
        <v>10622.43</v>
      </c>
      <c r="J497" s="16">
        <v>57277.08</v>
      </c>
      <c r="K497" s="16">
        <v>111.01999999999998</v>
      </c>
      <c r="L497" s="16">
        <v>1050.4199999999998</v>
      </c>
      <c r="M497" s="16">
        <v>2.87</v>
      </c>
      <c r="N497" s="16">
        <v>9.0</v>
      </c>
      <c r="O497" s="16">
        <v>8.0</v>
      </c>
      <c r="P497" s="16">
        <v>9.0</v>
      </c>
      <c r="Q497" s="17" t="str">
        <f t="shared" si="1"/>
        <v>1.125</v>
      </c>
      <c r="R497" s="17" t="str">
        <f t="shared" si="2"/>
        <v>2.87</v>
      </c>
      <c r="S497" s="17" t="str">
        <f t="shared" si="8"/>
        <v>0.8888888889</v>
      </c>
      <c r="T497" s="17" t="s">
        <v>30</v>
      </c>
      <c r="U497" s="17" t="s">
        <v>30</v>
      </c>
      <c r="V497" s="17" t="str">
        <f t="shared" si="436"/>
        <v>Partial discharge, Normal </v>
      </c>
      <c r="W497" s="17" t="str">
        <f t="shared" si="3"/>
        <v>1.125</v>
      </c>
      <c r="X497" s="17" t="str">
        <f t="shared" si="33"/>
        <v>2.87</v>
      </c>
      <c r="Y497" s="17" t="str">
        <f t="shared" si="9"/>
        <v>0.8888888889</v>
      </c>
      <c r="Z497" s="17" t="str">
        <f t="shared" si="435"/>
        <v>Discharge of Low Energy,  </v>
      </c>
      <c r="AA497" s="17" t="str">
        <f t="shared" si="432"/>
        <v>Thermal  Fault &gt;300c and&lt;700 and &gt;700 c</v>
      </c>
      <c r="AB497" s="17" t="s">
        <v>107</v>
      </c>
      <c r="AC497" s="17" t="str">
        <f t="shared" si="5"/>
        <v>2.87</v>
      </c>
      <c r="AD497" s="18" t="str">
        <f t="shared" si="10"/>
        <v>1.125</v>
      </c>
      <c r="AE497" s="17" t="str">
        <f t="shared" si="6"/>
        <v>3.135888502</v>
      </c>
      <c r="AF497" s="17" t="str">
        <f t="shared" si="11"/>
        <v>1</v>
      </c>
      <c r="AG497" s="17" t="str">
        <f t="shared" si="434"/>
        <v>Thermal Decomposition, </v>
      </c>
      <c r="AH497" s="17" t="str">
        <f t="shared" si="416"/>
        <v>Arching</v>
      </c>
      <c r="AI497" s="17" t="str">
        <f t="shared" si="16"/>
        <v>Arching</v>
      </c>
      <c r="AJ497" s="17" t="str">
        <f t="shared" si="235"/>
        <v>Thermal Decomposition,corona </v>
      </c>
    </row>
    <row r="498" ht="12.75" customHeight="1">
      <c r="A498" s="11">
        <v>497.0</v>
      </c>
      <c r="B498" s="21" t="s">
        <v>143</v>
      </c>
      <c r="C498" s="21" t="s">
        <v>136</v>
      </c>
      <c r="D498" s="21" t="s">
        <v>449</v>
      </c>
      <c r="E498" s="21" t="s">
        <v>138</v>
      </c>
      <c r="F498" s="21">
        <v>2013.0</v>
      </c>
      <c r="G498" s="17">
        <v>6.7</v>
      </c>
      <c r="H498" s="16">
        <v>4.489</v>
      </c>
      <c r="I498" s="16">
        <v>11388.526000000002</v>
      </c>
      <c r="J498" s="16">
        <v>54404.134</v>
      </c>
      <c r="K498" s="16">
        <v>56.615</v>
      </c>
      <c r="L498" s="16">
        <v>603.5360000000001</v>
      </c>
      <c r="M498" s="16">
        <v>6.097</v>
      </c>
      <c r="N498" s="16">
        <v>5.0</v>
      </c>
      <c r="O498" s="16">
        <v>8.576</v>
      </c>
      <c r="P498" s="16">
        <v>6.0</v>
      </c>
      <c r="Q498" s="17" t="str">
        <f t="shared" si="1"/>
        <v>0.6996268657</v>
      </c>
      <c r="R498" s="17" t="str">
        <f t="shared" si="2"/>
        <v>1.358208955</v>
      </c>
      <c r="S498" s="17" t="str">
        <f t="shared" si="8"/>
        <v>1.7152</v>
      </c>
      <c r="T498" s="17" t="str">
        <f>IF(Q498&lt;1,"Partial discharge,Low Temprature thermal fault,")</f>
        <v>Partial discharge,Low Temprature thermal fault,</v>
      </c>
      <c r="U498" s="17" t="str">
        <f>IF(R498&gt;1,"Thermal Fault &lt;700c, thermal fault &gt;700c ")</f>
        <v>Thermal Fault &lt;700c, thermal fault &gt;700c </v>
      </c>
      <c r="V498" s="17" t="s">
        <v>37</v>
      </c>
      <c r="W498" s="17" t="str">
        <f t="shared" si="3"/>
        <v>0.6996268657</v>
      </c>
      <c r="X498" s="17" t="str">
        <f t="shared" si="33"/>
        <v>1.358208955</v>
      </c>
      <c r="Y498" s="17" t="str">
        <f t="shared" si="9"/>
        <v>1.7152</v>
      </c>
      <c r="Z498" s="17" t="s">
        <v>34</v>
      </c>
      <c r="AA498" s="17" t="str">
        <f t="shared" si="432"/>
        <v>Thermal  Fault &gt;300c and&lt;700 and &gt;700 c</v>
      </c>
      <c r="AB498" s="17" t="str">
        <f t="shared" ref="AB498:AB499" si="437">IF(Y498&lt;0.2,"Partial Discharges, ",IF(Y498&gt;1,"Thermal  Fault  &gt;700 c"))</f>
        <v>Thermal  Fault  &gt;700 c</v>
      </c>
      <c r="AC498" s="17" t="str">
        <f t="shared" si="5"/>
        <v>1.358208955</v>
      </c>
      <c r="AD498" s="18" t="str">
        <f t="shared" si="10"/>
        <v>0.6996268657</v>
      </c>
      <c r="AE498" s="17" t="str">
        <f t="shared" si="6"/>
        <v>0.9840905363</v>
      </c>
      <c r="AF498" s="17" t="str">
        <f t="shared" si="11"/>
        <v>0.8333333333</v>
      </c>
      <c r="AG498" s="17" t="str">
        <f t="shared" si="434"/>
        <v>Thermal Decomposition, </v>
      </c>
      <c r="AH498" s="17" t="str">
        <f t="shared" si="416"/>
        <v>Thermal Decomposition, </v>
      </c>
      <c r="AI498" s="17" t="str">
        <f t="shared" si="16"/>
        <v>Arching</v>
      </c>
      <c r="AJ498" s="17" t="str">
        <f t="shared" si="235"/>
        <v>Thermal Decomposition,corona </v>
      </c>
    </row>
    <row r="499" ht="12.75" customHeight="1">
      <c r="A499" s="11">
        <v>498.0</v>
      </c>
      <c r="B499" s="21" t="s">
        <v>145</v>
      </c>
      <c r="C499" s="21" t="s">
        <v>136</v>
      </c>
      <c r="D499" s="21" t="s">
        <v>449</v>
      </c>
      <c r="E499" s="21" t="s">
        <v>138</v>
      </c>
      <c r="F499" s="21">
        <v>2012.0</v>
      </c>
      <c r="G499" s="17">
        <v>6.5</v>
      </c>
      <c r="H499" s="16">
        <v>1.3</v>
      </c>
      <c r="I499" s="16">
        <v>7909.395</v>
      </c>
      <c r="J499" s="16">
        <v>55733.015</v>
      </c>
      <c r="K499" s="16">
        <v>70.98</v>
      </c>
      <c r="L499" s="16">
        <v>798.3299999999999</v>
      </c>
      <c r="M499" s="16">
        <v>4.0</v>
      </c>
      <c r="N499" s="16">
        <v>8.0</v>
      </c>
      <c r="O499" s="16">
        <v>9.0</v>
      </c>
      <c r="P499" s="16">
        <v>9.0</v>
      </c>
      <c r="Q499" s="17" t="str">
        <f t="shared" si="1"/>
        <v>1</v>
      </c>
      <c r="R499" s="17" t="str">
        <f t="shared" si="2"/>
        <v>3.076923077</v>
      </c>
      <c r="S499" s="17" t="str">
        <f t="shared" si="8"/>
        <v>1.125</v>
      </c>
      <c r="T499" s="17" t="s">
        <v>30</v>
      </c>
      <c r="U499" s="17" t="str">
        <f>IF(R499&lt;0.1, "Partial discharge", "Low temperature thermal ")</f>
        <v>Low temperature thermal </v>
      </c>
      <c r="V499" s="17" t="s">
        <v>37</v>
      </c>
      <c r="W499" s="17" t="str">
        <f t="shared" si="3"/>
        <v>1</v>
      </c>
      <c r="X499" s="17" t="str">
        <f t="shared" si="33"/>
        <v>3.076923077</v>
      </c>
      <c r="Y499" s="17" t="str">
        <f t="shared" si="9"/>
        <v>1.125</v>
      </c>
      <c r="Z499" s="17" t="s">
        <v>34</v>
      </c>
      <c r="AA499" s="17" t="str">
        <f t="shared" si="432"/>
        <v>Thermal  Fault &gt;300c and&lt;700 and &gt;700 c</v>
      </c>
      <c r="AB499" s="17" t="str">
        <f t="shared" si="437"/>
        <v>Thermal  Fault  &gt;700 c</v>
      </c>
      <c r="AC499" s="17" t="str">
        <f t="shared" si="5"/>
        <v>3.076923077</v>
      </c>
      <c r="AD499" s="18" t="str">
        <f t="shared" si="10"/>
        <v>1</v>
      </c>
      <c r="AE499" s="17" t="str">
        <f t="shared" si="6"/>
        <v>2.25</v>
      </c>
      <c r="AF499" s="17" t="str">
        <f t="shared" si="11"/>
        <v>0.8888888889</v>
      </c>
      <c r="AG499" s="17" t="str">
        <f t="shared" si="434"/>
        <v>Thermal Decomposition, </v>
      </c>
      <c r="AH499" s="17" t="str">
        <f t="shared" si="416"/>
        <v>Arching</v>
      </c>
      <c r="AI499" s="17" t="str">
        <f t="shared" si="16"/>
        <v>Arching</v>
      </c>
      <c r="AJ499" s="17" t="str">
        <f t="shared" si="235"/>
        <v>Thermal Decomposition,corona </v>
      </c>
    </row>
    <row r="500" ht="12.75" customHeight="1">
      <c r="A500" s="11">
        <v>499.0</v>
      </c>
      <c r="B500" s="21" t="s">
        <v>450</v>
      </c>
      <c r="C500" s="21" t="s">
        <v>78</v>
      </c>
      <c r="D500" s="21" t="s">
        <v>451</v>
      </c>
      <c r="E500" s="21" t="s">
        <v>138</v>
      </c>
      <c r="F500" s="21">
        <v>2013.0</v>
      </c>
      <c r="G500" s="17">
        <v>6.4</v>
      </c>
      <c r="H500" s="16">
        <v>8.0</v>
      </c>
      <c r="I500" s="16">
        <v>11809.344000000001</v>
      </c>
      <c r="J500" s="16">
        <v>50937.920000000006</v>
      </c>
      <c r="K500" s="16">
        <v>97.408</v>
      </c>
      <c r="L500" s="16">
        <v>830.5920000000001</v>
      </c>
      <c r="M500" s="16">
        <v>6.0</v>
      </c>
      <c r="N500" s="16">
        <v>8.0</v>
      </c>
      <c r="O500" s="16">
        <v>8.0</v>
      </c>
      <c r="P500" s="16">
        <v>9.0</v>
      </c>
      <c r="Q500" s="17" t="str">
        <f t="shared" si="1"/>
        <v>1.125</v>
      </c>
      <c r="R500" s="17" t="str">
        <f t="shared" si="2"/>
        <v>0.75</v>
      </c>
      <c r="S500" s="17" t="str">
        <f t="shared" si="8"/>
        <v>1</v>
      </c>
      <c r="T500" s="17" t="s">
        <v>30</v>
      </c>
      <c r="U500" s="17" t="s">
        <v>30</v>
      </c>
      <c r="V500" s="17" t="s">
        <v>37</v>
      </c>
      <c r="W500" s="17" t="str">
        <f t="shared" si="3"/>
        <v>1.125</v>
      </c>
      <c r="X500" s="17" t="str">
        <f t="shared" si="33"/>
        <v>0.75</v>
      </c>
      <c r="Y500" s="17" t="str">
        <f t="shared" si="9"/>
        <v>1</v>
      </c>
      <c r="Z500" s="17" t="str">
        <f t="shared" ref="Z500:Z502" si="438">IF(W500&gt;1,"Discharge of Low Energy,  ",IF(W500&lt;0.1,"Thermal  Fault&gt; 300c and&lt;700 c"))</f>
        <v>Discharge of Low Energy,  </v>
      </c>
      <c r="AA500" s="17" t="s">
        <v>34</v>
      </c>
      <c r="AB500" s="17" t="s">
        <v>107</v>
      </c>
      <c r="AC500" s="17" t="str">
        <f t="shared" si="5"/>
        <v>0.75</v>
      </c>
      <c r="AD500" s="18" t="str">
        <f t="shared" si="10"/>
        <v>1.125</v>
      </c>
      <c r="AE500" s="17" t="str">
        <f t="shared" si="6"/>
        <v>1.5</v>
      </c>
      <c r="AF500" s="17" t="str">
        <f t="shared" si="11"/>
        <v>0.8888888889</v>
      </c>
      <c r="AG500" s="17" t="s">
        <v>30</v>
      </c>
      <c r="AH500" s="17" t="str">
        <f t="shared" si="416"/>
        <v>Arching</v>
      </c>
      <c r="AI500" s="17" t="str">
        <f t="shared" si="16"/>
        <v>Arching</v>
      </c>
      <c r="AJ500" s="17" t="str">
        <f t="shared" si="235"/>
        <v>Thermal Decomposition,corona </v>
      </c>
    </row>
    <row r="501" ht="12.75" customHeight="1">
      <c r="A501" s="11">
        <v>500.0</v>
      </c>
      <c r="B501" s="21" t="s">
        <v>452</v>
      </c>
      <c r="C501" s="21" t="s">
        <v>78</v>
      </c>
      <c r="D501" s="21" t="s">
        <v>451</v>
      </c>
      <c r="E501" s="21" t="s">
        <v>138</v>
      </c>
      <c r="F501" s="21">
        <v>2012.0</v>
      </c>
      <c r="G501" s="17">
        <v>7.9</v>
      </c>
      <c r="H501" s="16">
        <v>9.0</v>
      </c>
      <c r="I501" s="16">
        <v>13239.056999999999</v>
      </c>
      <c r="J501" s="16">
        <v>63853.33</v>
      </c>
      <c r="K501" s="16">
        <v>112.97</v>
      </c>
      <c r="L501" s="16">
        <v>1032.6879999999999</v>
      </c>
      <c r="M501" s="16">
        <v>8.0</v>
      </c>
      <c r="N501" s="16">
        <v>9.0</v>
      </c>
      <c r="O501" s="16">
        <v>7.0</v>
      </c>
      <c r="P501" s="16">
        <v>8.0</v>
      </c>
      <c r="Q501" s="17" t="str">
        <f t="shared" si="1"/>
        <v>1.142857143</v>
      </c>
      <c r="R501" s="17" t="str">
        <f t="shared" si="2"/>
        <v>0.8888888889</v>
      </c>
      <c r="S501" s="17" t="str">
        <f t="shared" si="8"/>
        <v>0.7777777778</v>
      </c>
      <c r="T501" s="17" t="s">
        <v>30</v>
      </c>
      <c r="U501" s="17" t="s">
        <v>30</v>
      </c>
      <c r="V501" s="17" t="str">
        <f t="shared" ref="V501:V504" si="439">IF(S501&lt;1,"Partial discharge, Normal ",IF(S501&gt;3,"Arching,Thermal  Fault &gt; 700 c"))</f>
        <v>Partial discharge, Normal </v>
      </c>
      <c r="W501" s="17" t="str">
        <f t="shared" si="3"/>
        <v>1.142857143</v>
      </c>
      <c r="X501" s="17" t="str">
        <f t="shared" si="33"/>
        <v>0.8888888889</v>
      </c>
      <c r="Y501" s="17" t="str">
        <f t="shared" si="9"/>
        <v>0.7777777778</v>
      </c>
      <c r="Z501" s="17" t="str">
        <f t="shared" si="438"/>
        <v>Discharge of Low Energy,  </v>
      </c>
      <c r="AA501" s="17" t="s">
        <v>34</v>
      </c>
      <c r="AB501" s="17" t="s">
        <v>107</v>
      </c>
      <c r="AC501" s="17" t="str">
        <f t="shared" si="5"/>
        <v>0.8888888889</v>
      </c>
      <c r="AD501" s="18" t="str">
        <f t="shared" si="10"/>
        <v>1.142857143</v>
      </c>
      <c r="AE501" s="17" t="str">
        <f t="shared" si="6"/>
        <v>1</v>
      </c>
      <c r="AF501" s="17" t="str">
        <f t="shared" si="11"/>
        <v>1.125</v>
      </c>
      <c r="AG501" s="17" t="s">
        <v>30</v>
      </c>
      <c r="AH501" s="17" t="str">
        <f t="shared" si="416"/>
        <v>Arching</v>
      </c>
      <c r="AI501" s="17" t="str">
        <f t="shared" si="16"/>
        <v>Arching</v>
      </c>
      <c r="AJ501" s="17" t="str">
        <f t="shared" si="235"/>
        <v>Thermal Decomposition,corona </v>
      </c>
    </row>
    <row r="502" ht="12.75" customHeight="1">
      <c r="A502" s="11">
        <v>501.0</v>
      </c>
      <c r="B502" s="21" t="s">
        <v>453</v>
      </c>
      <c r="C502" s="21" t="s">
        <v>40</v>
      </c>
      <c r="D502" s="21" t="s">
        <v>454</v>
      </c>
      <c r="E502" s="21" t="s">
        <v>138</v>
      </c>
      <c r="F502" s="21">
        <v>2012.0</v>
      </c>
      <c r="G502" s="17">
        <v>6.8</v>
      </c>
      <c r="H502" s="16">
        <v>2.0</v>
      </c>
      <c r="I502" s="16">
        <v>9796.419999999998</v>
      </c>
      <c r="J502" s="16">
        <v>55987.664</v>
      </c>
      <c r="K502" s="16">
        <v>117.36800000000001</v>
      </c>
      <c r="L502" s="16">
        <v>1183.948</v>
      </c>
      <c r="M502" s="16">
        <v>9.0</v>
      </c>
      <c r="N502" s="16">
        <v>8.0</v>
      </c>
      <c r="O502" s="16">
        <v>6.0</v>
      </c>
      <c r="P502" s="16">
        <v>7.0</v>
      </c>
      <c r="Q502" s="17" t="str">
        <f t="shared" si="1"/>
        <v>1.166666667</v>
      </c>
      <c r="R502" s="17" t="str">
        <f t="shared" si="2"/>
        <v>4.5</v>
      </c>
      <c r="S502" s="17" t="str">
        <f t="shared" si="8"/>
        <v>0.75</v>
      </c>
      <c r="T502" s="17" t="s">
        <v>30</v>
      </c>
      <c r="U502" s="17" t="str">
        <f>IF(R502&lt;0.1, "Partial discharge", "Low temperature thermal ")</f>
        <v>Low temperature thermal </v>
      </c>
      <c r="V502" s="17" t="str">
        <f t="shared" si="439"/>
        <v>Partial discharge, Normal </v>
      </c>
      <c r="W502" s="17" t="str">
        <f t="shared" si="3"/>
        <v>1.166666667</v>
      </c>
      <c r="X502" s="17" t="str">
        <f t="shared" si="33"/>
        <v>4.5</v>
      </c>
      <c r="Y502" s="17" t="str">
        <f t="shared" si="9"/>
        <v>0.75</v>
      </c>
      <c r="Z502" s="17" t="str">
        <f t="shared" si="438"/>
        <v>Discharge of Low Energy,  </v>
      </c>
      <c r="AA502" s="17" t="str">
        <f>IF(X502&lt;0.1,"Partial Discharges, ",IF(X502&gt;1,"Thermal  Fault &gt;300c and&lt;700 and &gt;700 c"))</f>
        <v>Thermal  Fault &gt;300c and&lt;700 and &gt;700 c</v>
      </c>
      <c r="AB502" s="17" t="s">
        <v>107</v>
      </c>
      <c r="AC502" s="17" t="str">
        <f t="shared" si="5"/>
        <v>4.5</v>
      </c>
      <c r="AD502" s="18" t="str">
        <f t="shared" si="10"/>
        <v>1.166666667</v>
      </c>
      <c r="AE502" s="17" t="str">
        <f t="shared" si="6"/>
        <v>0.7777777778</v>
      </c>
      <c r="AF502" s="17" t="str">
        <f t="shared" si="11"/>
        <v>1.142857143</v>
      </c>
      <c r="AG502" s="17" t="str">
        <f>IF(AC502&gt;1,"Thermal Decomposition, ",IF(AC502&lt;0.1,"Corona,Arching"))</f>
        <v>Thermal Decomposition, </v>
      </c>
      <c r="AH502" s="17" t="str">
        <f t="shared" si="416"/>
        <v>Arching</v>
      </c>
      <c r="AI502" s="17" t="str">
        <f t="shared" si="16"/>
        <v>Arching</v>
      </c>
      <c r="AJ502" s="17" t="str">
        <f t="shared" si="235"/>
        <v>Thermal Decomposition,corona </v>
      </c>
    </row>
    <row r="503" ht="12.75" customHeight="1">
      <c r="A503" s="11">
        <v>502.0</v>
      </c>
      <c r="B503" s="21" t="s">
        <v>455</v>
      </c>
      <c r="C503" s="21" t="s">
        <v>40</v>
      </c>
      <c r="D503" s="21" t="s">
        <v>454</v>
      </c>
      <c r="E503" s="21" t="s">
        <v>138</v>
      </c>
      <c r="F503" s="21">
        <v>2012.0</v>
      </c>
      <c r="G503" s="17">
        <v>7.4</v>
      </c>
      <c r="H503" s="16">
        <v>3.0</v>
      </c>
      <c r="I503" s="16">
        <v>12503.928000000002</v>
      </c>
      <c r="J503" s="16">
        <v>59133.399999999994</v>
      </c>
      <c r="K503" s="16">
        <v>135.05</v>
      </c>
      <c r="L503" s="16">
        <v>1437.8200000000002</v>
      </c>
      <c r="M503" s="16">
        <v>1.554</v>
      </c>
      <c r="N503" s="16">
        <v>7.0</v>
      </c>
      <c r="O503" s="16">
        <v>6.0</v>
      </c>
      <c r="P503" s="16">
        <v>6.0</v>
      </c>
      <c r="Q503" s="17" t="str">
        <f t="shared" si="1"/>
        <v>1</v>
      </c>
      <c r="R503" s="17" t="str">
        <f t="shared" si="2"/>
        <v>0.518</v>
      </c>
      <c r="S503" s="17" t="str">
        <f t="shared" si="8"/>
        <v>0.8571428571</v>
      </c>
      <c r="T503" s="17" t="s">
        <v>30</v>
      </c>
      <c r="U503" s="17" t="s">
        <v>30</v>
      </c>
      <c r="V503" s="17" t="str">
        <f t="shared" si="439"/>
        <v>Partial discharge, Normal </v>
      </c>
      <c r="W503" s="17" t="str">
        <f t="shared" si="3"/>
        <v>1</v>
      </c>
      <c r="X503" s="17" t="str">
        <f t="shared" si="33"/>
        <v>0.518</v>
      </c>
      <c r="Y503" s="17" t="str">
        <f t="shared" si="9"/>
        <v>0.8571428571</v>
      </c>
      <c r="Z503" s="17" t="s">
        <v>34</v>
      </c>
      <c r="AA503" s="17" t="s">
        <v>34</v>
      </c>
      <c r="AB503" s="17" t="s">
        <v>107</v>
      </c>
      <c r="AC503" s="17" t="str">
        <f t="shared" si="5"/>
        <v>0.518</v>
      </c>
      <c r="AD503" s="18" t="str">
        <f t="shared" si="10"/>
        <v>1</v>
      </c>
      <c r="AE503" s="17" t="str">
        <f t="shared" si="6"/>
        <v>3.861003861</v>
      </c>
      <c r="AF503" s="17" t="str">
        <f t="shared" si="11"/>
        <v>1.166666667</v>
      </c>
      <c r="AG503" s="17" t="s">
        <v>30</v>
      </c>
      <c r="AH503" s="17" t="str">
        <f t="shared" si="416"/>
        <v>Arching</v>
      </c>
      <c r="AI503" s="17" t="str">
        <f t="shared" si="16"/>
        <v>Arching</v>
      </c>
      <c r="AJ503" s="17" t="str">
        <f t="shared" si="235"/>
        <v>Thermal Decomposition,corona </v>
      </c>
    </row>
    <row r="504" ht="12.75" customHeight="1">
      <c r="A504" s="11">
        <v>503.0</v>
      </c>
      <c r="B504" s="21" t="s">
        <v>456</v>
      </c>
      <c r="C504" s="21" t="s">
        <v>457</v>
      </c>
      <c r="D504" s="21" t="s">
        <v>451</v>
      </c>
      <c r="E504" s="21" t="s">
        <v>138</v>
      </c>
      <c r="F504" s="21">
        <v>2012.0</v>
      </c>
      <c r="G504" s="17">
        <v>6.5</v>
      </c>
      <c r="H504" s="16">
        <v>5.0</v>
      </c>
      <c r="I504" s="16">
        <v>11803.74</v>
      </c>
      <c r="J504" s="16">
        <v>51513.604999999996</v>
      </c>
      <c r="K504" s="16">
        <v>89.505</v>
      </c>
      <c r="L504" s="16">
        <v>1088.815</v>
      </c>
      <c r="M504" s="16">
        <v>11.0</v>
      </c>
      <c r="N504" s="16">
        <v>6.0</v>
      </c>
      <c r="O504" s="16">
        <v>5.0</v>
      </c>
      <c r="P504" s="16">
        <v>7.0</v>
      </c>
      <c r="Q504" s="17" t="str">
        <f t="shared" si="1"/>
        <v>1.4</v>
      </c>
      <c r="R504" s="17" t="str">
        <f t="shared" si="2"/>
        <v>2.2</v>
      </c>
      <c r="S504" s="17" t="str">
        <f t="shared" si="8"/>
        <v>0.8333333333</v>
      </c>
      <c r="T504" s="17" t="s">
        <v>30</v>
      </c>
      <c r="U504" s="17" t="s">
        <v>30</v>
      </c>
      <c r="V504" s="17" t="str">
        <f t="shared" si="439"/>
        <v>Partial discharge, Normal </v>
      </c>
      <c r="W504" s="17" t="str">
        <f t="shared" si="3"/>
        <v>1.4</v>
      </c>
      <c r="X504" s="17" t="str">
        <f t="shared" si="33"/>
        <v>2.2</v>
      </c>
      <c r="Y504" s="17" t="str">
        <f t="shared" si="9"/>
        <v>0.8333333333</v>
      </c>
      <c r="Z504" s="17" t="str">
        <f>IF(W504&gt;1,"Discharge of Low Energy,  ",IF(W504&lt;0.1,"Thermal  Fault&gt; 300c and&lt;700 c"))</f>
        <v>Discharge of Low Energy,  </v>
      </c>
      <c r="AA504" s="17" t="str">
        <f t="shared" ref="AA504:AA510" si="440">IF(X504&lt;0.1,"Partial Discharges, ",IF(X504&gt;1,"Thermal  Fault &gt;300c and&lt;700 and &gt;700 c"))</f>
        <v>Thermal  Fault &gt;300c and&lt;700 and &gt;700 c</v>
      </c>
      <c r="AB504" s="17" t="s">
        <v>107</v>
      </c>
      <c r="AC504" s="17" t="str">
        <f t="shared" si="5"/>
        <v>2.2</v>
      </c>
      <c r="AD504" s="18" t="str">
        <f t="shared" si="10"/>
        <v>1.4</v>
      </c>
      <c r="AE504" s="17" t="str">
        <f t="shared" si="6"/>
        <v>0.6363636364</v>
      </c>
      <c r="AF504" s="17" t="str">
        <f t="shared" si="11"/>
        <v>0.8571428571</v>
      </c>
      <c r="AG504" s="17" t="str">
        <f t="shared" ref="AG504:AG510" si="441">IF(AC504&gt;1,"Thermal Decomposition, ",IF(AC504&lt;0.1,"Corona,Arching"))</f>
        <v>Thermal Decomposition, </v>
      </c>
      <c r="AH504" s="17" t="str">
        <f t="shared" si="416"/>
        <v>Arching</v>
      </c>
      <c r="AI504" s="17" t="str">
        <f t="shared" si="16"/>
        <v>Arching</v>
      </c>
      <c r="AJ504" s="17" t="str">
        <f t="shared" si="235"/>
        <v>Thermal Decomposition,corona </v>
      </c>
    </row>
    <row r="505" ht="12.75" customHeight="1">
      <c r="A505" s="11">
        <v>504.0</v>
      </c>
      <c r="B505" s="21" t="s">
        <v>458</v>
      </c>
      <c r="C505" s="21" t="s">
        <v>78</v>
      </c>
      <c r="D505" s="21" t="s">
        <v>451</v>
      </c>
      <c r="E505" s="21" t="s">
        <v>138</v>
      </c>
      <c r="F505" s="21">
        <v>2013.0</v>
      </c>
      <c r="G505" s="17">
        <v>6.9</v>
      </c>
      <c r="H505" s="16">
        <v>8.0</v>
      </c>
      <c r="I505" s="16">
        <v>11343.738000000001</v>
      </c>
      <c r="J505" s="16">
        <v>56442.48300000001</v>
      </c>
      <c r="K505" s="16">
        <v>81.144</v>
      </c>
      <c r="L505" s="16">
        <v>713.736</v>
      </c>
      <c r="M505" s="16">
        <v>12.0</v>
      </c>
      <c r="N505" s="16">
        <v>7.0</v>
      </c>
      <c r="O505" s="16">
        <v>8.0</v>
      </c>
      <c r="P505" s="16">
        <v>8.0</v>
      </c>
      <c r="Q505" s="17" t="str">
        <f t="shared" si="1"/>
        <v>1</v>
      </c>
      <c r="R505" s="17" t="str">
        <f t="shared" si="2"/>
        <v>1.5</v>
      </c>
      <c r="S505" s="17" t="str">
        <f t="shared" si="8"/>
        <v>1.142857143</v>
      </c>
      <c r="T505" s="17" t="s">
        <v>30</v>
      </c>
      <c r="U505" s="17" t="s">
        <v>30</v>
      </c>
      <c r="V505" s="17" t="s">
        <v>37</v>
      </c>
      <c r="W505" s="17" t="str">
        <f t="shared" si="3"/>
        <v>1</v>
      </c>
      <c r="X505" s="17" t="str">
        <f t="shared" si="33"/>
        <v>1.5</v>
      </c>
      <c r="Y505" s="17" t="str">
        <f t="shared" si="9"/>
        <v>1.142857143</v>
      </c>
      <c r="Z505" s="17" t="s">
        <v>34</v>
      </c>
      <c r="AA505" s="17" t="str">
        <f t="shared" si="440"/>
        <v>Thermal  Fault &gt;300c and&lt;700 and &gt;700 c</v>
      </c>
      <c r="AB505" s="17" t="str">
        <f t="shared" ref="AB505:AB506" si="442">IF(Y505&lt;0.2,"Partial Discharges, ",IF(Y505&gt;1,"Thermal  Fault  &gt;700 c"))</f>
        <v>Thermal  Fault  &gt;700 c</v>
      </c>
      <c r="AC505" s="17" t="str">
        <f t="shared" si="5"/>
        <v>1.5</v>
      </c>
      <c r="AD505" s="18" t="str">
        <f t="shared" si="10"/>
        <v>1</v>
      </c>
      <c r="AE505" s="17" t="str">
        <f t="shared" si="6"/>
        <v>0.6666666667</v>
      </c>
      <c r="AF505" s="17" t="str">
        <f t="shared" si="11"/>
        <v>0.875</v>
      </c>
      <c r="AG505" s="17" t="str">
        <f t="shared" si="441"/>
        <v>Thermal Decomposition, </v>
      </c>
      <c r="AH505" s="17" t="str">
        <f t="shared" si="416"/>
        <v>Arching</v>
      </c>
      <c r="AI505" s="17" t="str">
        <f t="shared" si="16"/>
        <v>Arching</v>
      </c>
      <c r="AJ505" s="17" t="str">
        <f t="shared" si="235"/>
        <v>Thermal Decomposition,corona </v>
      </c>
    </row>
    <row r="506" ht="12.75" customHeight="1">
      <c r="A506" s="11">
        <v>505.0</v>
      </c>
      <c r="B506" s="21" t="s">
        <v>459</v>
      </c>
      <c r="C506" s="21" t="s">
        <v>82</v>
      </c>
      <c r="D506" s="21" t="s">
        <v>41</v>
      </c>
      <c r="E506" s="21" t="s">
        <v>460</v>
      </c>
      <c r="F506" s="21">
        <v>2012.0</v>
      </c>
      <c r="G506" s="17">
        <v>7.1</v>
      </c>
      <c r="H506" s="16">
        <v>1.4909999999999999</v>
      </c>
      <c r="I506" s="16">
        <v>10290.456</v>
      </c>
      <c r="J506" s="16">
        <v>59031.38799999999</v>
      </c>
      <c r="K506" s="16">
        <v>111.967</v>
      </c>
      <c r="L506" s="16">
        <v>1034.186</v>
      </c>
      <c r="M506" s="16">
        <v>14.0</v>
      </c>
      <c r="N506" s="16">
        <v>8.0</v>
      </c>
      <c r="O506" s="16">
        <v>9.0</v>
      </c>
      <c r="P506" s="16">
        <v>9.0</v>
      </c>
      <c r="Q506" s="17" t="str">
        <f t="shared" si="1"/>
        <v>1</v>
      </c>
      <c r="R506" s="17" t="str">
        <f t="shared" si="2"/>
        <v>9.389671362</v>
      </c>
      <c r="S506" s="17" t="str">
        <f t="shared" si="8"/>
        <v>1.125</v>
      </c>
      <c r="T506" s="17" t="s">
        <v>30</v>
      </c>
      <c r="U506" s="17" t="str">
        <f t="shared" ref="U506:U507" si="443">IF(R506&lt;0.1, "Partial discharge", "Low temperature thermal ")</f>
        <v>Low temperature thermal </v>
      </c>
      <c r="V506" s="17" t="s">
        <v>37</v>
      </c>
      <c r="W506" s="17" t="str">
        <f t="shared" si="3"/>
        <v>1</v>
      </c>
      <c r="X506" s="17" t="str">
        <f t="shared" si="33"/>
        <v>9.389671362</v>
      </c>
      <c r="Y506" s="17" t="str">
        <f t="shared" si="9"/>
        <v>1.125</v>
      </c>
      <c r="Z506" s="17" t="s">
        <v>34</v>
      </c>
      <c r="AA506" s="17" t="str">
        <f t="shared" si="440"/>
        <v>Thermal  Fault &gt;300c and&lt;700 and &gt;700 c</v>
      </c>
      <c r="AB506" s="17" t="str">
        <f t="shared" si="442"/>
        <v>Thermal  Fault  &gt;700 c</v>
      </c>
      <c r="AC506" s="17" t="str">
        <f t="shared" si="5"/>
        <v>9.389671362</v>
      </c>
      <c r="AD506" s="18" t="str">
        <f t="shared" si="10"/>
        <v>1</v>
      </c>
      <c r="AE506" s="17" t="str">
        <f t="shared" si="6"/>
        <v>0.6428571429</v>
      </c>
      <c r="AF506" s="17" t="str">
        <f t="shared" si="11"/>
        <v>0.8888888889</v>
      </c>
      <c r="AG506" s="17" t="str">
        <f t="shared" si="441"/>
        <v>Thermal Decomposition, </v>
      </c>
      <c r="AH506" s="17" t="str">
        <f t="shared" si="416"/>
        <v>Arching</v>
      </c>
      <c r="AI506" s="17" t="str">
        <f t="shared" si="16"/>
        <v>Arching</v>
      </c>
      <c r="AJ506" s="17" t="str">
        <f t="shared" si="235"/>
        <v>Thermal Decomposition,corona </v>
      </c>
    </row>
    <row r="507" ht="12.75" customHeight="1">
      <c r="A507" s="11">
        <v>506.0</v>
      </c>
      <c r="B507" s="21" t="s">
        <v>461</v>
      </c>
      <c r="C507" s="21" t="s">
        <v>40</v>
      </c>
      <c r="D507" s="21" t="s">
        <v>41</v>
      </c>
      <c r="E507" s="21" t="s">
        <v>462</v>
      </c>
      <c r="F507" s="21">
        <v>2015.0</v>
      </c>
      <c r="G507" s="17">
        <v>7.0</v>
      </c>
      <c r="H507" s="16">
        <v>5.46</v>
      </c>
      <c r="I507" s="16">
        <v>12296.9</v>
      </c>
      <c r="J507" s="16">
        <v>55513.780000000006</v>
      </c>
      <c r="K507" s="16">
        <v>128.94</v>
      </c>
      <c r="L507" s="16">
        <v>1503.53</v>
      </c>
      <c r="M507" s="16">
        <v>6.0</v>
      </c>
      <c r="N507" s="16">
        <v>9.0</v>
      </c>
      <c r="O507" s="16">
        <v>6.0</v>
      </c>
      <c r="P507" s="16">
        <v>8.0</v>
      </c>
      <c r="Q507" s="17" t="str">
        <f t="shared" si="1"/>
        <v>1.333333333</v>
      </c>
      <c r="R507" s="17" t="str">
        <f t="shared" si="2"/>
        <v>1.098901099</v>
      </c>
      <c r="S507" s="17" t="str">
        <f t="shared" si="8"/>
        <v>0.6666666667</v>
      </c>
      <c r="T507" s="17" t="s">
        <v>30</v>
      </c>
      <c r="U507" s="17" t="str">
        <f t="shared" si="443"/>
        <v>Low temperature thermal </v>
      </c>
      <c r="V507" s="17" t="str">
        <f>IF(S507&lt;1,"Partial discharge, Normal ",IF(S507&gt;3,"Arching,Thermal  Fault &gt; 700 c"))</f>
        <v>Partial discharge, Normal </v>
      </c>
      <c r="W507" s="17" t="str">
        <f t="shared" si="3"/>
        <v>1.333333333</v>
      </c>
      <c r="X507" s="17" t="str">
        <f t="shared" si="33"/>
        <v>1.098901099</v>
      </c>
      <c r="Y507" s="17" t="str">
        <f t="shared" si="9"/>
        <v>0.6666666667</v>
      </c>
      <c r="Z507" s="17" t="str">
        <f t="shared" ref="Z507:Z508" si="444">IF(W507&gt;1,"Discharge of Low Energy,  ",IF(W507&lt;0.1,"Thermal  Fault&gt; 300c and&lt;700 c"))</f>
        <v>Discharge of Low Energy,  </v>
      </c>
      <c r="AA507" s="17" t="str">
        <f t="shared" si="440"/>
        <v>Thermal  Fault &gt;300c and&lt;700 and &gt;700 c</v>
      </c>
      <c r="AB507" s="17" t="s">
        <v>107</v>
      </c>
      <c r="AC507" s="17" t="str">
        <f t="shared" si="5"/>
        <v>1.098901099</v>
      </c>
      <c r="AD507" s="18" t="str">
        <f t="shared" si="10"/>
        <v>1.333333333</v>
      </c>
      <c r="AE507" s="17" t="str">
        <f t="shared" si="6"/>
        <v>1.333333333</v>
      </c>
      <c r="AF507" s="17" t="str">
        <f t="shared" si="11"/>
        <v>1.125</v>
      </c>
      <c r="AG507" s="17" t="str">
        <f t="shared" si="441"/>
        <v>Thermal Decomposition, </v>
      </c>
      <c r="AH507" s="17" t="str">
        <f t="shared" si="416"/>
        <v>Arching</v>
      </c>
      <c r="AI507" s="17" t="str">
        <f t="shared" si="16"/>
        <v>Arching</v>
      </c>
      <c r="AJ507" s="17" t="str">
        <f t="shared" si="235"/>
        <v>Thermal Decomposition,corona </v>
      </c>
    </row>
    <row r="508" ht="12.75" customHeight="1">
      <c r="A508" s="11">
        <v>507.0</v>
      </c>
      <c r="B508" s="21" t="s">
        <v>461</v>
      </c>
      <c r="C508" s="21" t="s">
        <v>40</v>
      </c>
      <c r="D508" s="21" t="s">
        <v>41</v>
      </c>
      <c r="E508" s="21" t="s">
        <v>462</v>
      </c>
      <c r="F508" s="21">
        <v>2015.0</v>
      </c>
      <c r="G508" s="17">
        <v>6.9</v>
      </c>
      <c r="H508" s="16">
        <v>4.0</v>
      </c>
      <c r="I508" s="16">
        <v>10847.076</v>
      </c>
      <c r="J508" s="16">
        <v>56488.437</v>
      </c>
      <c r="K508" s="16">
        <v>74.52000000000001</v>
      </c>
      <c r="L508" s="16">
        <v>815.235</v>
      </c>
      <c r="M508" s="16">
        <v>9.0</v>
      </c>
      <c r="N508" s="16">
        <v>8.0</v>
      </c>
      <c r="O508" s="16">
        <v>8.0</v>
      </c>
      <c r="P508" s="16">
        <v>29.67</v>
      </c>
      <c r="Q508" s="17" t="str">
        <f t="shared" si="1"/>
        <v>3.70875</v>
      </c>
      <c r="R508" s="17" t="str">
        <f t="shared" si="2"/>
        <v>2.25</v>
      </c>
      <c r="S508" s="17" t="str">
        <f t="shared" si="8"/>
        <v>1</v>
      </c>
      <c r="T508" s="17" t="s">
        <v>30</v>
      </c>
      <c r="U508" s="17" t="s">
        <v>30</v>
      </c>
      <c r="V508" s="17" t="s">
        <v>37</v>
      </c>
      <c r="W508" s="17" t="str">
        <f t="shared" si="3"/>
        <v>3.70875</v>
      </c>
      <c r="X508" s="17" t="str">
        <f t="shared" si="33"/>
        <v>2.25</v>
      </c>
      <c r="Y508" s="17" t="str">
        <f t="shared" si="9"/>
        <v>1</v>
      </c>
      <c r="Z508" s="17" t="str">
        <f t="shared" si="444"/>
        <v>Discharge of Low Energy,  </v>
      </c>
      <c r="AA508" s="17" t="str">
        <f t="shared" si="440"/>
        <v>Thermal  Fault &gt;300c and&lt;700 and &gt;700 c</v>
      </c>
      <c r="AB508" s="17" t="s">
        <v>107</v>
      </c>
      <c r="AC508" s="17" t="str">
        <f t="shared" si="5"/>
        <v>2.25</v>
      </c>
      <c r="AD508" s="18" t="str">
        <f t="shared" si="10"/>
        <v>3.70875</v>
      </c>
      <c r="AE508" s="17" t="str">
        <f t="shared" si="6"/>
        <v>3.296666667</v>
      </c>
      <c r="AF508" s="17" t="str">
        <f t="shared" si="11"/>
        <v>0.2696326255</v>
      </c>
      <c r="AG508" s="17" t="str">
        <f t="shared" si="441"/>
        <v>Thermal Decomposition, </v>
      </c>
      <c r="AH508" s="17" t="str">
        <f t="shared" si="416"/>
        <v>Arching</v>
      </c>
      <c r="AI508" s="17" t="str">
        <f t="shared" si="16"/>
        <v>Arching</v>
      </c>
      <c r="AJ508" s="17" t="str">
        <f t="shared" si="235"/>
        <v>Arching</v>
      </c>
    </row>
    <row r="509" ht="12.75" customHeight="1">
      <c r="A509" s="11">
        <v>508.0</v>
      </c>
      <c r="B509" s="21">
        <v>82159.0</v>
      </c>
      <c r="C509" s="21" t="s">
        <v>40</v>
      </c>
      <c r="D509" s="21" t="s">
        <v>41</v>
      </c>
      <c r="E509" s="21" t="s">
        <v>52</v>
      </c>
      <c r="F509" s="21">
        <v>2013.0</v>
      </c>
      <c r="G509" s="17">
        <v>7.8</v>
      </c>
      <c r="H509" s="16">
        <v>3.0</v>
      </c>
      <c r="I509" s="16">
        <v>14528.124</v>
      </c>
      <c r="J509" s="16">
        <v>61573.511999999995</v>
      </c>
      <c r="K509" s="16">
        <v>117.78</v>
      </c>
      <c r="L509" s="16">
        <v>1011.8159999999999</v>
      </c>
      <c r="M509" s="16">
        <v>6.0</v>
      </c>
      <c r="N509" s="16">
        <v>29.67</v>
      </c>
      <c r="O509" s="16">
        <v>9.0</v>
      </c>
      <c r="P509" s="16">
        <v>8.0</v>
      </c>
      <c r="Q509" s="17" t="str">
        <f t="shared" si="1"/>
        <v>0.8888888889</v>
      </c>
      <c r="R509" s="17" t="str">
        <f t="shared" si="2"/>
        <v>2</v>
      </c>
      <c r="S509" s="17" t="str">
        <f t="shared" si="8"/>
        <v>0.3033367037</v>
      </c>
      <c r="T509" s="17" t="str">
        <f>IF(Q509&lt;1,"Partial discharge,Low Temprature thermal fault,")</f>
        <v>Partial discharge,Low Temprature thermal fault,</v>
      </c>
      <c r="U509" s="17" t="s">
        <v>30</v>
      </c>
      <c r="V509" s="17" t="str">
        <f t="shared" ref="V509:V510" si="445">IF(S509&lt;1,"Partial discharge, Normal ",IF(S509&gt;3,"Arching,Thermal  Fault &gt; 700 c"))</f>
        <v>Partial discharge, Normal </v>
      </c>
      <c r="W509" s="17" t="str">
        <f t="shared" si="3"/>
        <v>0.8888888889</v>
      </c>
      <c r="X509" s="17" t="str">
        <f t="shared" si="33"/>
        <v>2</v>
      </c>
      <c r="Y509" s="17" t="str">
        <f t="shared" si="9"/>
        <v>0.3033367037</v>
      </c>
      <c r="Z509" s="17" t="s">
        <v>34</v>
      </c>
      <c r="AA509" s="17" t="str">
        <f t="shared" si="440"/>
        <v>Thermal  Fault &gt;300c and&lt;700 and &gt;700 c</v>
      </c>
      <c r="AB509" s="17" t="s">
        <v>107</v>
      </c>
      <c r="AC509" s="17" t="str">
        <f t="shared" si="5"/>
        <v>2</v>
      </c>
      <c r="AD509" s="18" t="str">
        <f t="shared" si="10"/>
        <v>0.8888888889</v>
      </c>
      <c r="AE509" s="17" t="str">
        <f t="shared" si="6"/>
        <v>1.333333333</v>
      </c>
      <c r="AF509" s="17" t="str">
        <f t="shared" si="11"/>
        <v>3.70875</v>
      </c>
      <c r="AG509" s="17" t="str">
        <f t="shared" si="441"/>
        <v>Thermal Decomposition, </v>
      </c>
      <c r="AH509" s="17" t="str">
        <f t="shared" si="416"/>
        <v>Arching</v>
      </c>
      <c r="AI509" s="17" t="str">
        <f t="shared" si="16"/>
        <v>Arching</v>
      </c>
      <c r="AJ509" s="17" t="str">
        <f t="shared" si="235"/>
        <v>Thermal Decomposition,corona </v>
      </c>
    </row>
    <row r="510" ht="12.75" customHeight="1">
      <c r="A510" s="11">
        <v>509.0</v>
      </c>
      <c r="B510" s="21">
        <v>82159.0</v>
      </c>
      <c r="C510" s="21" t="s">
        <v>40</v>
      </c>
      <c r="D510" s="21" t="s">
        <v>41</v>
      </c>
      <c r="E510" s="21" t="s">
        <v>52</v>
      </c>
      <c r="F510" s="21">
        <v>2013.0</v>
      </c>
      <c r="G510" s="17">
        <v>7.2</v>
      </c>
      <c r="H510" s="16">
        <v>5.0</v>
      </c>
      <c r="I510" s="16">
        <v>12818.376</v>
      </c>
      <c r="J510" s="16">
        <v>57338.352</v>
      </c>
      <c r="K510" s="16">
        <v>84.312</v>
      </c>
      <c r="L510" s="16">
        <v>939.024</v>
      </c>
      <c r="M510" s="16">
        <v>8.0</v>
      </c>
      <c r="N510" s="16">
        <v>8.0</v>
      </c>
      <c r="O510" s="16">
        <v>5.0</v>
      </c>
      <c r="P510" s="16">
        <v>6.5520000000000005</v>
      </c>
      <c r="Q510" s="17" t="str">
        <f t="shared" si="1"/>
        <v>1.3104</v>
      </c>
      <c r="R510" s="17" t="str">
        <f t="shared" si="2"/>
        <v>1.6</v>
      </c>
      <c r="S510" s="17" t="str">
        <f t="shared" si="8"/>
        <v>0.625</v>
      </c>
      <c r="T510" s="17" t="s">
        <v>30</v>
      </c>
      <c r="U510" s="17" t="s">
        <v>30</v>
      </c>
      <c r="V510" s="17" t="str">
        <f t="shared" si="445"/>
        <v>Partial discharge, Normal </v>
      </c>
      <c r="W510" s="17" t="str">
        <f t="shared" si="3"/>
        <v>1.3104</v>
      </c>
      <c r="X510" s="17" t="str">
        <f t="shared" si="33"/>
        <v>1.6</v>
      </c>
      <c r="Y510" s="17" t="str">
        <f t="shared" si="9"/>
        <v>0.625</v>
      </c>
      <c r="Z510" s="17" t="str">
        <f>IF(W510&gt;1,"Discharge of Low Energy,  ",IF(W510&lt;0.1,"Thermal  Fault&gt; 300c and&lt;700 c"))</f>
        <v>Discharge of Low Energy,  </v>
      </c>
      <c r="AA510" s="17" t="str">
        <f t="shared" si="440"/>
        <v>Thermal  Fault &gt;300c and&lt;700 and &gt;700 c</v>
      </c>
      <c r="AB510" s="17" t="s">
        <v>107</v>
      </c>
      <c r="AC510" s="17" t="str">
        <f t="shared" si="5"/>
        <v>1.6</v>
      </c>
      <c r="AD510" s="18" t="str">
        <f t="shared" si="10"/>
        <v>1.3104</v>
      </c>
      <c r="AE510" s="17" t="str">
        <f t="shared" si="6"/>
        <v>0.819</v>
      </c>
      <c r="AF510" s="17" t="str">
        <f t="shared" si="11"/>
        <v>1.221001221</v>
      </c>
      <c r="AG510" s="17" t="str">
        <f t="shared" si="441"/>
        <v>Thermal Decomposition, </v>
      </c>
      <c r="AH510" s="17" t="str">
        <f t="shared" si="416"/>
        <v>Arching</v>
      </c>
      <c r="AI510" s="17" t="str">
        <f t="shared" si="16"/>
        <v>Arching</v>
      </c>
      <c r="AJ510" s="17" t="str">
        <f t="shared" si="235"/>
        <v>Thermal Decomposition,corona </v>
      </c>
    </row>
    <row r="511" ht="12.75" customHeight="1">
      <c r="A511" s="11">
        <v>510.0</v>
      </c>
      <c r="B511" s="21" t="s">
        <v>463</v>
      </c>
      <c r="C511" s="21" t="s">
        <v>40</v>
      </c>
      <c r="D511" s="21" t="s">
        <v>41</v>
      </c>
      <c r="E511" s="21" t="s">
        <v>464</v>
      </c>
      <c r="F511" s="21">
        <v>2015.0</v>
      </c>
      <c r="G511" s="17">
        <v>6.7</v>
      </c>
      <c r="H511" s="16">
        <v>7.0</v>
      </c>
      <c r="I511" s="16">
        <v>9485.324</v>
      </c>
      <c r="J511" s="16">
        <v>56073.439</v>
      </c>
      <c r="K511" s="16">
        <v>85.55900000000001</v>
      </c>
      <c r="L511" s="16">
        <v>949.3230000000001</v>
      </c>
      <c r="M511" s="16">
        <v>4.0</v>
      </c>
      <c r="N511" s="16">
        <v>6.5520000000000005</v>
      </c>
      <c r="O511" s="16">
        <v>9.0</v>
      </c>
      <c r="P511" s="16">
        <v>9.0</v>
      </c>
      <c r="Q511" s="17" t="str">
        <f t="shared" si="1"/>
        <v>1</v>
      </c>
      <c r="R511" s="17" t="str">
        <f t="shared" si="2"/>
        <v>0.5714285714</v>
      </c>
      <c r="S511" s="17" t="str">
        <f t="shared" si="8"/>
        <v>1.373626374</v>
      </c>
      <c r="T511" s="17" t="s">
        <v>30</v>
      </c>
      <c r="U511" s="17" t="s">
        <v>30</v>
      </c>
      <c r="V511" s="17" t="s">
        <v>37</v>
      </c>
      <c r="W511" s="17" t="str">
        <f t="shared" si="3"/>
        <v>1</v>
      </c>
      <c r="X511" s="17" t="str">
        <f t="shared" si="33"/>
        <v>0.5714285714</v>
      </c>
      <c r="Y511" s="17" t="str">
        <f t="shared" si="9"/>
        <v>1.373626374</v>
      </c>
      <c r="Z511" s="17" t="s">
        <v>34</v>
      </c>
      <c r="AA511" s="17" t="s">
        <v>34</v>
      </c>
      <c r="AB511" s="17" t="str">
        <f>IF(Y511&lt;0.2,"Partial Discharges, ",IF(Y511&gt;1,"Thermal  Fault  &gt;700 c"))</f>
        <v>Thermal  Fault  &gt;700 c</v>
      </c>
      <c r="AC511" s="17" t="str">
        <f t="shared" si="5"/>
        <v>0.5714285714</v>
      </c>
      <c r="AD511" s="18" t="str">
        <f t="shared" si="10"/>
        <v>1</v>
      </c>
      <c r="AE511" s="17" t="str">
        <f t="shared" si="6"/>
        <v>2.25</v>
      </c>
      <c r="AF511" s="17" t="str">
        <f t="shared" si="11"/>
        <v>0.728</v>
      </c>
      <c r="AG511" s="17" t="s">
        <v>30</v>
      </c>
      <c r="AH511" s="17" t="str">
        <f t="shared" si="416"/>
        <v>Arching</v>
      </c>
      <c r="AI511" s="17" t="str">
        <f t="shared" si="16"/>
        <v>Arching</v>
      </c>
      <c r="AJ511" s="17" t="str">
        <f t="shared" si="235"/>
        <v>Thermal Decomposition,corona </v>
      </c>
    </row>
    <row r="512" ht="12.75" customHeight="1">
      <c r="A512" s="11">
        <v>511.0</v>
      </c>
      <c r="B512" s="21" t="s">
        <v>463</v>
      </c>
      <c r="C512" s="21" t="s">
        <v>40</v>
      </c>
      <c r="D512" s="21" t="s">
        <v>41</v>
      </c>
      <c r="E512" s="21" t="s">
        <v>464</v>
      </c>
      <c r="F512" s="21">
        <v>2015.0</v>
      </c>
      <c r="G512" s="17">
        <v>7.0</v>
      </c>
      <c r="H512" s="16">
        <v>8.0</v>
      </c>
      <c r="I512" s="16">
        <v>12377.189999999999</v>
      </c>
      <c r="J512" s="16">
        <v>55944.56</v>
      </c>
      <c r="K512" s="16">
        <v>63.56</v>
      </c>
      <c r="L512" s="16">
        <v>618.59</v>
      </c>
      <c r="M512" s="16">
        <v>9.0</v>
      </c>
      <c r="N512" s="16">
        <v>8.0</v>
      </c>
      <c r="O512" s="16">
        <v>8.0</v>
      </c>
      <c r="P512" s="16">
        <v>5.67</v>
      </c>
      <c r="Q512" s="17" t="str">
        <f t="shared" si="1"/>
        <v>0.70875</v>
      </c>
      <c r="R512" s="17" t="str">
        <f t="shared" si="2"/>
        <v>1.125</v>
      </c>
      <c r="S512" s="17" t="str">
        <f t="shared" si="8"/>
        <v>1</v>
      </c>
      <c r="T512" s="17" t="s">
        <v>30</v>
      </c>
      <c r="U512" s="17" t="s">
        <v>30</v>
      </c>
      <c r="V512" s="17" t="s">
        <v>37</v>
      </c>
      <c r="W512" s="17" t="str">
        <f t="shared" si="3"/>
        <v>0.70875</v>
      </c>
      <c r="X512" s="17" t="str">
        <f t="shared" si="33"/>
        <v>1.125</v>
      </c>
      <c r="Y512" s="17" t="str">
        <f t="shared" si="9"/>
        <v>1</v>
      </c>
      <c r="Z512" s="17" t="s">
        <v>34</v>
      </c>
      <c r="AA512" s="17" t="str">
        <f>IF(X512&lt;0.1,"Partial Discharges, ",IF(X512&gt;1,"Thermal  Fault &gt;300c and&lt;700 and &gt;700 c"))</f>
        <v>Thermal  Fault &gt;300c and&lt;700 and &gt;700 c</v>
      </c>
      <c r="AB512" s="17" t="s">
        <v>107</v>
      </c>
      <c r="AC512" s="17" t="str">
        <f t="shared" si="5"/>
        <v>1.125</v>
      </c>
      <c r="AD512" s="18" t="str">
        <f t="shared" si="10"/>
        <v>0.70875</v>
      </c>
      <c r="AE512" s="17" t="str">
        <f t="shared" si="6"/>
        <v>0.63</v>
      </c>
      <c r="AF512" s="17" t="str">
        <f t="shared" si="11"/>
        <v>1.410934744</v>
      </c>
      <c r="AG512" s="17" t="str">
        <f>IF(AC512&gt;1,"Thermal Decomposition, ",IF(AC512&lt;0.1,"Corona,Arching"))</f>
        <v>Thermal Decomposition, </v>
      </c>
      <c r="AH512" s="17" t="str">
        <f t="shared" si="416"/>
        <v>Thermal Decomposition, </v>
      </c>
      <c r="AI512" s="17" t="str">
        <f t="shared" si="16"/>
        <v>Arching</v>
      </c>
      <c r="AJ512" s="17" t="str">
        <f t="shared" si="235"/>
        <v>Thermal Decomposition,corona </v>
      </c>
    </row>
    <row r="513" ht="12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16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2"/>
      <c r="AD513" s="31"/>
      <c r="AE513" s="31"/>
      <c r="AF513" s="31"/>
      <c r="AG513" s="31"/>
      <c r="AH513" s="31"/>
      <c r="AI513" s="31"/>
      <c r="AJ513" s="31"/>
    </row>
  </sheetData>
  <mergeCells count="8">
    <mergeCell ref="W1:AB1"/>
    <mergeCell ref="AC1:AI1"/>
    <mergeCell ref="B1:P1"/>
    <mergeCell ref="A1:A2"/>
    <mergeCell ref="Q1:V1"/>
    <mergeCell ref="T2:V2"/>
    <mergeCell ref="Z2:AB2"/>
    <mergeCell ref="AG2:AJ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3" width="12.29"/>
    <col customWidth="1" min="4" max="4" width="16.43"/>
    <col customWidth="1" min="5" max="5" width="29.0"/>
    <col customWidth="1" min="6" max="8" width="12.29"/>
    <col customWidth="1" min="9" max="9" width="29.29"/>
    <col customWidth="1" min="10" max="12" width="12.29"/>
  </cols>
  <sheetData>
    <row r="1" ht="14.25" customHeight="1">
      <c r="A1" s="33" t="s">
        <v>465</v>
      </c>
      <c r="B1" s="3"/>
      <c r="C1" s="3"/>
      <c r="D1" s="4"/>
      <c r="E1" s="33" t="s">
        <v>465</v>
      </c>
      <c r="F1" s="3"/>
      <c r="G1" s="3"/>
      <c r="H1" s="4"/>
      <c r="I1" s="33" t="s">
        <v>465</v>
      </c>
      <c r="J1" s="3"/>
      <c r="K1" s="3"/>
      <c r="L1" s="4"/>
    </row>
    <row r="2" ht="14.25" customHeight="1">
      <c r="A2" s="33" t="s">
        <v>2</v>
      </c>
      <c r="B2" s="3"/>
      <c r="C2" s="3"/>
      <c r="D2" s="4"/>
      <c r="E2" s="33" t="s">
        <v>3</v>
      </c>
      <c r="F2" s="3"/>
      <c r="G2" s="3"/>
      <c r="H2" s="4"/>
      <c r="I2" s="33" t="s">
        <v>4</v>
      </c>
      <c r="J2" s="3"/>
      <c r="K2" s="3"/>
      <c r="L2" s="4"/>
    </row>
    <row r="3" ht="14.25" customHeight="1">
      <c r="A3" s="34" t="s">
        <v>23</v>
      </c>
      <c r="B3" s="34" t="s">
        <v>466</v>
      </c>
      <c r="C3" s="33" t="s">
        <v>467</v>
      </c>
      <c r="D3" s="4"/>
      <c r="E3" s="34" t="s">
        <v>23</v>
      </c>
      <c r="F3" s="34" t="s">
        <v>466</v>
      </c>
      <c r="G3" s="33" t="s">
        <v>467</v>
      </c>
      <c r="H3" s="4"/>
      <c r="I3" s="34" t="s">
        <v>23</v>
      </c>
      <c r="J3" s="34" t="s">
        <v>466</v>
      </c>
      <c r="K3" s="33" t="s">
        <v>467</v>
      </c>
      <c r="L3" s="4"/>
    </row>
    <row r="4" ht="14.25" customHeight="1">
      <c r="A4" s="35"/>
      <c r="B4" s="35"/>
      <c r="C4" s="34" t="s">
        <v>468</v>
      </c>
      <c r="D4" s="35"/>
      <c r="E4" s="35"/>
      <c r="F4" s="35"/>
      <c r="G4" s="34" t="s">
        <v>468</v>
      </c>
      <c r="H4" s="35"/>
      <c r="I4" s="35"/>
      <c r="J4" s="35"/>
      <c r="K4" s="34" t="s">
        <v>468</v>
      </c>
      <c r="L4" s="35"/>
    </row>
    <row r="5" ht="14.2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ht="14.25" customHeight="1">
      <c r="A6" s="35" t="s">
        <v>30</v>
      </c>
      <c r="B6" s="35"/>
      <c r="C6" s="35" t="str">
        <f>COUNTIF(DGA!T3:V512,"*Arching*")</f>
        <v>607</v>
      </c>
      <c r="D6" s="35"/>
      <c r="E6" s="35" t="s">
        <v>469</v>
      </c>
      <c r="F6" s="35"/>
      <c r="G6" s="35" t="str">
        <f>COUNTIF(DGA!AA2:AC512,"*Partial Discharges*")</f>
        <v>14</v>
      </c>
      <c r="H6" s="35"/>
      <c r="I6" s="35" t="s">
        <v>38</v>
      </c>
      <c r="J6" s="35"/>
      <c r="K6" s="35" t="str">
        <f>COUNTIF(DGA!AG2:AJ512,"*Thermal Decomposition*")</f>
        <v>853</v>
      </c>
      <c r="L6" s="35"/>
    </row>
    <row r="7" ht="14.25" customHeight="1">
      <c r="A7" s="35" t="s">
        <v>470</v>
      </c>
      <c r="B7" s="35"/>
      <c r="C7" s="35" t="str">
        <f>COUNTIF(DGA!T3:V512,"*Partial discharge*")</f>
        <v>461</v>
      </c>
      <c r="D7" s="35"/>
      <c r="E7" s="35" t="s">
        <v>471</v>
      </c>
      <c r="F7" s="35"/>
      <c r="G7" s="35" t="str">
        <f>COUNTIF(DGA!Z2:AB512,"*Discharge of Low Energy*")</f>
        <v>243</v>
      </c>
      <c r="H7" s="35"/>
      <c r="I7" s="35" t="s">
        <v>472</v>
      </c>
      <c r="J7" s="35"/>
      <c r="K7" s="35" t="str">
        <f>COUNTIF(DGA!AG2:AJ512,"*corona*")</f>
        <v>459</v>
      </c>
      <c r="L7" s="35"/>
    </row>
    <row r="8" ht="14.25" customHeight="1">
      <c r="A8" s="35" t="s">
        <v>473</v>
      </c>
      <c r="B8" s="35"/>
      <c r="C8" s="35" t="str">
        <f>COUNTIF(DGA!T3:V512,"*Low temprature thermal fault*")</f>
        <v>632</v>
      </c>
      <c r="D8" s="35"/>
      <c r="E8" s="35" t="s">
        <v>474</v>
      </c>
      <c r="F8" s="35"/>
      <c r="G8" s="35" t="str">
        <f>COUNTIF(DGA!Z2:AB514,"*High Energy Discharge*")</f>
        <v>497</v>
      </c>
      <c r="H8" s="35"/>
      <c r="I8" s="35" t="s">
        <v>30</v>
      </c>
      <c r="J8" s="35"/>
      <c r="K8" s="35" t="str">
        <f>COUNTIF(DGA!AG2:AJ512,"*Arching*")</f>
        <v>1179</v>
      </c>
      <c r="L8" s="35"/>
    </row>
    <row r="9" ht="14.25" customHeight="1">
      <c r="A9" s="35" t="s">
        <v>475</v>
      </c>
      <c r="B9" s="35"/>
      <c r="C9" s="35" t="str">
        <f>COUNTIF(DGA!T2:V512,"*Thermal Fault &lt;700c*")</f>
        <v>177</v>
      </c>
      <c r="D9" s="35"/>
      <c r="E9" s="35" t="s">
        <v>476</v>
      </c>
      <c r="F9" s="35"/>
      <c r="G9" s="35" t="str">
        <f>COUNTIF(DGA!Z2:AB512,"*Thermal  Fault &lt;F10300c*")</f>
        <v>0</v>
      </c>
      <c r="H9" s="35"/>
      <c r="I9" s="35"/>
      <c r="J9" s="35"/>
      <c r="K9" s="35"/>
      <c r="L9" s="35"/>
    </row>
    <row r="10" ht="14.25" customHeight="1">
      <c r="A10" s="35" t="s">
        <v>477</v>
      </c>
      <c r="B10" s="35"/>
      <c r="C10" s="35" t="str">
        <f>COUNTIF(DGA!T2:V512,"*Thermal Fault &lt;700c*")</f>
        <v>177</v>
      </c>
      <c r="D10" s="35"/>
      <c r="E10" s="35" t="s">
        <v>478</v>
      </c>
      <c r="F10" s="35"/>
      <c r="G10" s="35" t="str">
        <f>COUNTIF(DGA!Z2:AB512,"*Thermal  Fault&gt; 300c and&lt;700 c*")</f>
        <v>8</v>
      </c>
      <c r="H10" s="35"/>
      <c r="I10" s="35"/>
      <c r="J10" s="35"/>
      <c r="K10" s="35"/>
      <c r="L10" s="35"/>
    </row>
    <row r="11" ht="14.25" customHeight="1">
      <c r="A11" s="35"/>
      <c r="B11" s="35"/>
      <c r="C11" s="35"/>
      <c r="D11" s="35"/>
      <c r="E11" s="35" t="s">
        <v>479</v>
      </c>
      <c r="F11" s="35"/>
      <c r="G11" s="35" t="str">
        <f>COUNTIF(DGA!Z2:AB512,"* &gt;700 c*")</f>
        <v>479</v>
      </c>
      <c r="H11" s="35"/>
      <c r="I11" s="35"/>
      <c r="J11" s="35"/>
      <c r="K11" s="35"/>
      <c r="L11" s="35"/>
    </row>
    <row r="12" ht="14.25" customHeight="1">
      <c r="A12" s="34" t="s">
        <v>480</v>
      </c>
      <c r="B12" s="35"/>
      <c r="C12" s="35" t="str">
        <f>SUM(C6:C10)</f>
        <v>2054</v>
      </c>
      <c r="D12" s="35"/>
      <c r="E12" s="34" t="s">
        <v>480</v>
      </c>
      <c r="F12" s="35"/>
      <c r="G12" s="35" t="str">
        <f>SUM(G6:G11)</f>
        <v>1241</v>
      </c>
      <c r="H12" s="35"/>
      <c r="I12" s="34" t="s">
        <v>480</v>
      </c>
      <c r="J12" s="35"/>
      <c r="K12" s="35" t="str">
        <f>SUM(K6:K8)</f>
        <v>2491</v>
      </c>
      <c r="L12" s="35"/>
    </row>
    <row r="13" ht="14.2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</row>
    <row r="14" ht="14.2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ht="14.2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</row>
    <row r="16" ht="14.2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</row>
    <row r="17" ht="14.2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ht="14.2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</row>
    <row r="19" ht="14.2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 ht="14.2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ht="14.2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ht="14.2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</row>
    <row r="23" ht="14.2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</row>
    <row r="24" ht="14.2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</row>
    <row r="25" ht="14.2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</row>
    <row r="26" ht="14.2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</row>
    <row r="27" ht="14.2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</row>
    <row r="28" ht="14.2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</row>
    <row r="29" ht="14.2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 ht="14.2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</row>
    <row r="31" ht="14.2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</row>
    <row r="32" ht="14.2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</row>
    <row r="33" ht="14.2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</row>
    <row r="34" ht="14.2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  <row r="35" ht="14.2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 ht="14.2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ht="14.2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</row>
    <row r="38" ht="14.2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ht="14.2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</row>
    <row r="40" ht="14.2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</row>
    <row r="41" ht="14.2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</row>
    <row r="42" ht="14.2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</row>
    <row r="43" ht="14.2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</row>
    <row r="44" ht="14.2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</row>
    <row r="45" ht="14.2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</row>
    <row r="46" ht="14.2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</row>
    <row r="47" ht="14.2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</row>
    <row r="48" ht="14.2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</row>
    <row r="49" ht="14.2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</row>
    <row r="50" ht="14.2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</row>
    <row r="51" ht="14.2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</row>
    <row r="52" ht="14.2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</row>
    <row r="53" ht="14.2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 ht="14.2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</row>
    <row r="56" ht="14.2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</row>
    <row r="57" ht="14.2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8" ht="14.2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ht="14.2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ht="14.2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ht="14.2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ht="14.2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ht="14.2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</row>
    <row r="64" ht="14.2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</row>
    <row r="65" ht="14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ht="14.2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ht="14.2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ht="14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ht="14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ht="14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ht="14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ht="14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ht="14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ht="14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ht="14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ht="14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ht="14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ht="14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ht="14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ht="14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ht="14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ht="14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ht="14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ht="14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ht="14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ht="14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ht="14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ht="14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ht="14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ht="14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</sheetData>
  <mergeCells count="9">
    <mergeCell ref="I1:L1"/>
    <mergeCell ref="I2:L2"/>
    <mergeCell ref="C3:D3"/>
    <mergeCell ref="G3:H3"/>
    <mergeCell ref="K3:L3"/>
    <mergeCell ref="A1:D1"/>
    <mergeCell ref="A2:D2"/>
    <mergeCell ref="E1:H1"/>
    <mergeCell ref="E2:H2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DGA</vt:lpstr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2024-02-10T10:46:39Z</dcterms:created>
  <dc:creator>india</dc:creator>
  <cp:lastModifiedBy>Sumit .</cp:lastModifiedBy>
  <dcterms:modified xsi:type="dcterms:W3CDTF">2024-09-26T07:01:11Z</dcterms:modified>
</cp:coreProperties>
</file>